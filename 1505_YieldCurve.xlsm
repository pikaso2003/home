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2830" windowHeight="13215" activeTab="1"/>
  </bookViews>
  <sheets>
    <sheet name="Holiday" sheetId="2" r:id="rId1"/>
    <sheet name="market data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21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7" i="1"/>
  <c r="D6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1" i="1"/>
  <c r="F6" i="1"/>
</calcChain>
</file>

<file path=xl/sharedStrings.xml><?xml version="1.0" encoding="utf-8"?>
<sst xmlns="http://schemas.openxmlformats.org/spreadsheetml/2006/main" count="13" uniqueCount="11">
  <si>
    <t>w</t>
    <phoneticPr fontId="2"/>
  </si>
  <si>
    <t>m</t>
    <phoneticPr fontId="2"/>
  </si>
  <si>
    <t>y</t>
    <phoneticPr fontId="2"/>
  </si>
  <si>
    <t>6M Libor</t>
    <phoneticPr fontId="2"/>
  </si>
  <si>
    <t>3M Libor</t>
    <phoneticPr fontId="2"/>
  </si>
  <si>
    <t>OIS</t>
    <phoneticPr fontId="2"/>
  </si>
  <si>
    <t>d</t>
    <phoneticPr fontId="2"/>
  </si>
  <si>
    <t>Market data</t>
    <phoneticPr fontId="2"/>
  </si>
  <si>
    <t>Holiday</t>
    <phoneticPr fontId="2"/>
  </si>
  <si>
    <t>year_frac</t>
    <phoneticPr fontId="2"/>
  </si>
  <si>
    <t>swap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</si>
</sst>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0" formatCode="#&quot;w&quot;"/>
    <numFmt numFmtId="183" formatCode="#&quot;m&quot;"/>
    <numFmt numFmtId="184" formatCode="#&quot;y&quot;"/>
    <numFmt numFmtId="185" formatCode="#&quot;day&quot;"/>
  </numFmts>
  <fonts count="8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6" borderId="0" xfId="0" applyFont="1" applyFill="1">
      <alignment vertical="center"/>
    </xf>
    <xf numFmtId="0" fontId="3" fillId="6" borderId="0" xfId="0" applyFont="1" applyFill="1">
      <alignment vertical="center"/>
    </xf>
    <xf numFmtId="180" fontId="5" fillId="0" borderId="0" xfId="2" applyNumberFormat="1" applyFont="1" applyFill="1">
      <alignment vertical="center"/>
    </xf>
    <xf numFmtId="183" fontId="5" fillId="0" borderId="0" xfId="4" applyNumberFormat="1" applyFont="1" applyFill="1">
      <alignment vertical="center"/>
    </xf>
    <xf numFmtId="184" fontId="5" fillId="0" borderId="0" xfId="1" applyNumberFormat="1" applyFont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85" fontId="4" fillId="0" borderId="0" xfId="3" applyNumberFormat="1" applyFont="1" applyFill="1" applyAlignment="1">
      <alignment horizontal="right" vertical="center"/>
    </xf>
  </cellXfs>
  <cellStyles count="5">
    <cellStyle name="アクセント 2" xfId="1" builtinId="33"/>
    <cellStyle name="アクセント 3" xfId="2" builtinId="37"/>
    <cellStyle name="アクセント 5" xfId="3" builtinId="45"/>
    <cellStyle name="アクセント 6" xfId="4" builtinId="49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5" sqref="C5"/>
    </sheetView>
  </sheetViews>
  <sheetFormatPr defaultRowHeight="13.5" x14ac:dyDescent="0.15"/>
  <sheetData>
    <row r="1" spans="1:1" ht="28.5" x14ac:dyDescent="0.15">
      <c r="A1" s="8" t="s">
        <v>8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1"/>
  <sheetViews>
    <sheetView tabSelected="1" workbookViewId="0">
      <selection activeCell="B2" sqref="B2"/>
    </sheetView>
  </sheetViews>
  <sheetFormatPr defaultRowHeight="13.5" x14ac:dyDescent="0.15"/>
  <cols>
    <col min="7" max="7" width="9.375" style="6" bestFit="1" customWidth="1"/>
  </cols>
  <sheetData>
    <row r="1" spans="1:7" ht="25.5" x14ac:dyDescent="0.15">
      <c r="A1" s="7" t="s">
        <v>7</v>
      </c>
    </row>
    <row r="4" spans="1:7" x14ac:dyDescent="0.15">
      <c r="C4" s="1" t="s">
        <v>5</v>
      </c>
      <c r="D4" s="1"/>
      <c r="E4" s="1" t="s">
        <v>4</v>
      </c>
      <c r="F4" s="1"/>
      <c r="G4" s="2" t="s">
        <v>3</v>
      </c>
    </row>
    <row r="5" spans="1:7" x14ac:dyDescent="0.15">
      <c r="C5" s="1" t="s">
        <v>10</v>
      </c>
      <c r="D5" s="1" t="s">
        <v>9</v>
      </c>
      <c r="E5" s="1" t="s">
        <v>10</v>
      </c>
      <c r="F5" s="1"/>
      <c r="G5" s="2" t="s">
        <v>10</v>
      </c>
    </row>
    <row r="6" spans="1:7" x14ac:dyDescent="0.15">
      <c r="A6" t="s">
        <v>6</v>
      </c>
      <c r="B6" s="9">
        <v>1</v>
      </c>
      <c r="C6">
        <v>6.9940000000000002E-2</v>
      </c>
      <c r="D6">
        <f>B6/365</f>
        <v>2.7397260273972603E-3</v>
      </c>
      <c r="F6">
        <f>B6/365</f>
        <v>2.7397260273972603E-3</v>
      </c>
    </row>
    <row r="7" spans="1:7" x14ac:dyDescent="0.15">
      <c r="A7" t="s">
        <v>0</v>
      </c>
      <c r="B7" s="3">
        <v>1</v>
      </c>
      <c r="C7">
        <v>6.7500000000000004E-2</v>
      </c>
      <c r="D7">
        <f>B7*7/365</f>
        <v>1.9178082191780823E-2</v>
      </c>
      <c r="F7">
        <f>B7*7/365</f>
        <v>1.9178082191780823E-2</v>
      </c>
    </row>
    <row r="8" spans="1:7" x14ac:dyDescent="0.15">
      <c r="B8" s="3">
        <v>2</v>
      </c>
      <c r="C8">
        <v>6.5960000000000005E-2</v>
      </c>
      <c r="D8">
        <f t="shared" ref="D8:F10" si="0">B8*7/365</f>
        <v>3.8356164383561646E-2</v>
      </c>
      <c r="F8">
        <f t="shared" ref="F8:F20" si="1">B8*7/365</f>
        <v>3.8356164383561646E-2</v>
      </c>
    </row>
    <row r="9" spans="1:7" x14ac:dyDescent="0.15">
      <c r="B9" s="3">
        <v>3</v>
      </c>
      <c r="C9">
        <v>0.64490000000000003</v>
      </c>
      <c r="D9">
        <f t="shared" si="0"/>
        <v>5.7534246575342465E-2</v>
      </c>
      <c r="F9">
        <f t="shared" si="1"/>
        <v>5.7534246575342465E-2</v>
      </c>
    </row>
    <row r="10" spans="1:7" x14ac:dyDescent="0.15">
      <c r="A10" t="s">
        <v>1</v>
      </c>
      <c r="B10" s="4">
        <v>1</v>
      </c>
      <c r="C10">
        <v>6.4420000000000005E-2</v>
      </c>
      <c r="D10">
        <f>B10*30/365</f>
        <v>8.2191780821917804E-2</v>
      </c>
      <c r="F10">
        <f t="shared" si="1"/>
        <v>1.9178082191780823E-2</v>
      </c>
    </row>
    <row r="11" spans="1:7" x14ac:dyDescent="0.15">
      <c r="B11" s="4">
        <v>2</v>
      </c>
      <c r="C11">
        <v>6.2850000000000003E-2</v>
      </c>
      <c r="D11">
        <f t="shared" ref="D11:F21" si="2">B11*30/365</f>
        <v>0.16438356164383561</v>
      </c>
      <c r="F11">
        <f t="shared" si="1"/>
        <v>3.8356164383561646E-2</v>
      </c>
    </row>
    <row r="12" spans="1:7" x14ac:dyDescent="0.15">
      <c r="B12" s="4">
        <v>3</v>
      </c>
      <c r="C12">
        <v>6.2080000000000003E-2</v>
      </c>
      <c r="D12">
        <f t="shared" si="2"/>
        <v>0.24657534246575341</v>
      </c>
      <c r="E12">
        <v>0.10092</v>
      </c>
      <c r="F12">
        <f t="shared" si="1"/>
        <v>5.7534246575342465E-2</v>
      </c>
    </row>
    <row r="13" spans="1:7" x14ac:dyDescent="0.15">
      <c r="B13" s="4">
        <v>4</v>
      </c>
      <c r="C13">
        <v>6.1379999999999997E-2</v>
      </c>
      <c r="D13">
        <f t="shared" si="2"/>
        <v>0.32876712328767121</v>
      </c>
      <c r="E13">
        <v>0.10236000000000001</v>
      </c>
      <c r="F13">
        <f t="shared" si="1"/>
        <v>7.6712328767123292E-2</v>
      </c>
    </row>
    <row r="14" spans="1:7" x14ac:dyDescent="0.15">
      <c r="B14" s="4">
        <v>5</v>
      </c>
      <c r="C14">
        <v>6.0789999999999997E-2</v>
      </c>
      <c r="D14">
        <f t="shared" si="2"/>
        <v>0.41095890410958902</v>
      </c>
      <c r="E14">
        <v>0.10274</v>
      </c>
      <c r="F14">
        <f t="shared" si="1"/>
        <v>9.5890410958904104E-2</v>
      </c>
    </row>
    <row r="15" spans="1:7" x14ac:dyDescent="0.15">
      <c r="B15" s="4">
        <v>6</v>
      </c>
      <c r="C15">
        <v>5.9400000000000001E-2</v>
      </c>
      <c r="D15">
        <f t="shared" si="2"/>
        <v>0.49315068493150682</v>
      </c>
      <c r="E15">
        <v>0.10391</v>
      </c>
      <c r="F15">
        <f t="shared" si="1"/>
        <v>0.11506849315068493</v>
      </c>
      <c r="G15" s="6">
        <v>0.13905999999999999</v>
      </c>
    </row>
    <row r="16" spans="1:7" x14ac:dyDescent="0.15">
      <c r="B16" s="4">
        <v>7</v>
      </c>
      <c r="C16">
        <v>5.8479999999999997E-2</v>
      </c>
      <c r="D16">
        <f t="shared" si="2"/>
        <v>0.57534246575342463</v>
      </c>
      <c r="E16">
        <v>0.10406</v>
      </c>
      <c r="F16">
        <f t="shared" si="1"/>
        <v>0.13424657534246576</v>
      </c>
      <c r="G16" s="6">
        <v>0.13788</v>
      </c>
    </row>
    <row r="17" spans="1:7" x14ac:dyDescent="0.15">
      <c r="B17" s="4">
        <v>8</v>
      </c>
      <c r="C17">
        <v>5.8169999999999999E-2</v>
      </c>
      <c r="D17">
        <f t="shared" si="2"/>
        <v>0.65753424657534243</v>
      </c>
      <c r="E17">
        <v>0.10421</v>
      </c>
      <c r="F17">
        <f t="shared" si="1"/>
        <v>0.15342465753424658</v>
      </c>
      <c r="G17" s="6">
        <v>0.13757</v>
      </c>
    </row>
    <row r="18" spans="1:7" x14ac:dyDescent="0.15">
      <c r="B18" s="4">
        <v>9</v>
      </c>
      <c r="C18">
        <v>5.7270000000000001E-2</v>
      </c>
      <c r="D18">
        <f t="shared" si="2"/>
        <v>0.73972602739726023</v>
      </c>
      <c r="E18">
        <v>0.10513</v>
      </c>
      <c r="F18">
        <f t="shared" si="1"/>
        <v>0.17260273972602741</v>
      </c>
      <c r="G18" s="6">
        <v>0.13750999999999999</v>
      </c>
    </row>
    <row r="19" spans="1:7" x14ac:dyDescent="0.15">
      <c r="B19" s="4">
        <v>10</v>
      </c>
      <c r="C19">
        <v>5.6989999999999999E-2</v>
      </c>
      <c r="D19">
        <f t="shared" si="2"/>
        <v>0.82191780821917804</v>
      </c>
      <c r="E19">
        <v>0.10614</v>
      </c>
      <c r="F19">
        <f t="shared" si="1"/>
        <v>0.19178082191780821</v>
      </c>
      <c r="G19" s="6">
        <v>0.13802</v>
      </c>
    </row>
    <row r="20" spans="1:7" x14ac:dyDescent="0.15">
      <c r="B20" s="4">
        <v>11</v>
      </c>
      <c r="C20">
        <v>5.672E-2</v>
      </c>
      <c r="D20">
        <f t="shared" si="2"/>
        <v>0.90410958904109584</v>
      </c>
      <c r="E20">
        <v>0.10752</v>
      </c>
      <c r="F20">
        <f t="shared" si="1"/>
        <v>0.21095890410958903</v>
      </c>
      <c r="G20" s="6">
        <v>0.13783999999999999</v>
      </c>
    </row>
    <row r="21" spans="1:7" x14ac:dyDescent="0.15">
      <c r="A21" t="s">
        <v>2</v>
      </c>
      <c r="B21" s="5">
        <v>1</v>
      </c>
      <c r="C21">
        <v>5.654E-2</v>
      </c>
      <c r="D21">
        <f>B21*1</f>
        <v>1</v>
      </c>
      <c r="E21">
        <v>3.26953</v>
      </c>
      <c r="F21">
        <f>B21*1</f>
        <v>1</v>
      </c>
      <c r="G21" s="6">
        <v>0.14000000000000001</v>
      </c>
    </row>
    <row r="22" spans="1:7" x14ac:dyDescent="0.15">
      <c r="B22" s="5">
        <v>2</v>
      </c>
      <c r="C22">
        <v>5.9900000000000002E-2</v>
      </c>
      <c r="D22">
        <f t="shared" ref="D22:F60" si="3">B22*1</f>
        <v>2</v>
      </c>
      <c r="E22">
        <v>3.5134300000000001</v>
      </c>
      <c r="F22">
        <f t="shared" ref="F22:F60" si="4">B22*1</f>
        <v>2</v>
      </c>
      <c r="G22" s="6">
        <v>0.15</v>
      </c>
    </row>
    <row r="23" spans="1:7" x14ac:dyDescent="0.15">
      <c r="B23" s="5">
        <v>3</v>
      </c>
      <c r="C23">
        <v>7.8759999999999997E-2</v>
      </c>
      <c r="D23">
        <f t="shared" si="3"/>
        <v>3</v>
      </c>
      <c r="E23">
        <v>3.75</v>
      </c>
      <c r="F23">
        <f t="shared" si="4"/>
        <v>3</v>
      </c>
      <c r="G23" s="6">
        <v>0.17496</v>
      </c>
    </row>
    <row r="24" spans="1:7" x14ac:dyDescent="0.15">
      <c r="B24" s="5">
        <v>4</v>
      </c>
      <c r="C24">
        <v>0.11620999999999999</v>
      </c>
      <c r="D24">
        <f t="shared" si="3"/>
        <v>4</v>
      </c>
      <c r="E24">
        <v>4</v>
      </c>
      <c r="F24">
        <f t="shared" si="4"/>
        <v>4</v>
      </c>
      <c r="G24" s="6">
        <v>0.21745999999999999</v>
      </c>
    </row>
    <row r="25" spans="1:7" x14ac:dyDescent="0.15">
      <c r="B25" s="5">
        <v>5</v>
      </c>
      <c r="C25">
        <v>0.16725999999999999</v>
      </c>
      <c r="D25">
        <f t="shared" si="3"/>
        <v>5</v>
      </c>
      <c r="E25">
        <v>4.25</v>
      </c>
      <c r="F25">
        <f t="shared" si="4"/>
        <v>5</v>
      </c>
      <c r="G25" s="6">
        <v>0.27495999999999998</v>
      </c>
    </row>
    <row r="26" spans="1:7" x14ac:dyDescent="0.15">
      <c r="B26" s="5">
        <v>6</v>
      </c>
      <c r="C26">
        <v>0.22347</v>
      </c>
      <c r="D26">
        <f t="shared" si="3"/>
        <v>6</v>
      </c>
      <c r="E26">
        <v>4.625</v>
      </c>
      <c r="F26">
        <f t="shared" si="4"/>
        <v>6</v>
      </c>
      <c r="G26" s="6">
        <v>0.34122999999999998</v>
      </c>
    </row>
    <row r="27" spans="1:7" x14ac:dyDescent="0.15">
      <c r="B27" s="5">
        <v>7</v>
      </c>
      <c r="C27">
        <v>0.28094999999999998</v>
      </c>
      <c r="D27">
        <f t="shared" si="3"/>
        <v>7</v>
      </c>
      <c r="E27">
        <v>5</v>
      </c>
      <c r="F27">
        <f t="shared" si="4"/>
        <v>7</v>
      </c>
      <c r="G27" s="6">
        <v>0.41</v>
      </c>
    </row>
    <row r="28" spans="1:7" x14ac:dyDescent="0.15">
      <c r="B28" s="5">
        <v>8</v>
      </c>
      <c r="C28">
        <v>0.33840999999999999</v>
      </c>
      <c r="D28">
        <f t="shared" si="3"/>
        <v>8</v>
      </c>
      <c r="E28">
        <v>5.375</v>
      </c>
      <c r="F28">
        <f t="shared" si="4"/>
        <v>8</v>
      </c>
      <c r="G28" s="6">
        <v>0.47870000000000001</v>
      </c>
    </row>
    <row r="29" spans="1:7" x14ac:dyDescent="0.15">
      <c r="B29" s="5">
        <v>9</v>
      </c>
      <c r="C29">
        <v>0.39319999999999999</v>
      </c>
      <c r="D29">
        <f t="shared" si="3"/>
        <v>9</v>
      </c>
      <c r="E29">
        <v>53875</v>
      </c>
      <c r="F29">
        <f t="shared" si="4"/>
        <v>9</v>
      </c>
      <c r="G29" s="6">
        <v>0.54500000000000004</v>
      </c>
    </row>
    <row r="30" spans="1:7" x14ac:dyDescent="0.15">
      <c r="B30" s="5">
        <v>10</v>
      </c>
      <c r="C30">
        <v>0.45117000000000002</v>
      </c>
      <c r="D30">
        <f t="shared" si="3"/>
        <v>10</v>
      </c>
      <c r="E30">
        <v>6.25</v>
      </c>
      <c r="F30">
        <f t="shared" si="4"/>
        <v>10</v>
      </c>
      <c r="G30" s="6">
        <v>0.61375000000000002</v>
      </c>
    </row>
    <row r="31" spans="1:7" x14ac:dyDescent="0.15">
      <c r="B31" s="5">
        <v>11</v>
      </c>
      <c r="C31">
        <v>0.51534999999999997</v>
      </c>
      <c r="D31">
        <f t="shared" si="3"/>
        <v>11</v>
      </c>
      <c r="F31">
        <f t="shared" si="4"/>
        <v>11</v>
      </c>
    </row>
    <row r="32" spans="1:7" x14ac:dyDescent="0.15">
      <c r="B32" s="5">
        <v>12</v>
      </c>
      <c r="C32">
        <v>0.58286000000000004</v>
      </c>
      <c r="D32">
        <f t="shared" si="3"/>
        <v>12</v>
      </c>
      <c r="E32">
        <v>6.2545000000000002</v>
      </c>
      <c r="F32">
        <f t="shared" si="4"/>
        <v>12</v>
      </c>
      <c r="G32" s="6">
        <v>0.75500999999999996</v>
      </c>
    </row>
    <row r="33" spans="2:7" x14ac:dyDescent="0.15">
      <c r="B33" s="5">
        <v>13</v>
      </c>
      <c r="D33">
        <f t="shared" si="3"/>
        <v>13</v>
      </c>
      <c r="F33">
        <f t="shared" si="4"/>
        <v>13</v>
      </c>
    </row>
    <row r="34" spans="2:7" x14ac:dyDescent="0.15">
      <c r="B34" s="5">
        <v>14</v>
      </c>
      <c r="D34">
        <f t="shared" si="3"/>
        <v>14</v>
      </c>
      <c r="F34">
        <f t="shared" si="4"/>
        <v>14</v>
      </c>
    </row>
    <row r="35" spans="2:7" x14ac:dyDescent="0.15">
      <c r="B35" s="5">
        <v>15</v>
      </c>
      <c r="C35">
        <v>0.79310999999999998</v>
      </c>
      <c r="D35">
        <f t="shared" si="3"/>
        <v>15</v>
      </c>
      <c r="E35">
        <v>6.38035</v>
      </c>
      <c r="F35">
        <f t="shared" si="4"/>
        <v>15</v>
      </c>
      <c r="G35" s="6">
        <v>0.96875</v>
      </c>
    </row>
    <row r="36" spans="2:7" x14ac:dyDescent="0.15">
      <c r="B36" s="5">
        <v>16</v>
      </c>
      <c r="D36">
        <f t="shared" si="3"/>
        <v>16</v>
      </c>
      <c r="F36">
        <f t="shared" si="4"/>
        <v>16</v>
      </c>
    </row>
    <row r="37" spans="2:7" x14ac:dyDescent="0.15">
      <c r="B37" s="5">
        <v>17</v>
      </c>
      <c r="D37">
        <f t="shared" si="3"/>
        <v>17</v>
      </c>
      <c r="F37">
        <f t="shared" si="4"/>
        <v>17</v>
      </c>
    </row>
    <row r="38" spans="2:7" x14ac:dyDescent="0.15">
      <c r="B38" s="5">
        <v>18</v>
      </c>
      <c r="D38">
        <f t="shared" si="3"/>
        <v>18</v>
      </c>
      <c r="F38">
        <f t="shared" si="4"/>
        <v>18</v>
      </c>
    </row>
    <row r="39" spans="2:7" x14ac:dyDescent="0.15">
      <c r="B39" s="5">
        <v>19</v>
      </c>
      <c r="D39">
        <f t="shared" si="3"/>
        <v>19</v>
      </c>
      <c r="F39">
        <f t="shared" si="4"/>
        <v>19</v>
      </c>
    </row>
    <row r="40" spans="2:7" x14ac:dyDescent="0.15">
      <c r="B40" s="5">
        <v>20</v>
      </c>
      <c r="C40">
        <v>1.0664400000000001</v>
      </c>
      <c r="D40">
        <f t="shared" si="3"/>
        <v>20</v>
      </c>
      <c r="E40">
        <v>6.5004600000000003</v>
      </c>
      <c r="F40">
        <f t="shared" si="4"/>
        <v>20</v>
      </c>
      <c r="G40" s="6">
        <v>1.2456700000000001</v>
      </c>
    </row>
    <row r="41" spans="2:7" x14ac:dyDescent="0.15">
      <c r="B41" s="5">
        <v>21</v>
      </c>
      <c r="D41">
        <f t="shared" si="3"/>
        <v>21</v>
      </c>
      <c r="F41">
        <f t="shared" si="4"/>
        <v>21</v>
      </c>
    </row>
    <row r="42" spans="2:7" x14ac:dyDescent="0.15">
      <c r="B42" s="5">
        <v>22</v>
      </c>
      <c r="D42">
        <f t="shared" si="3"/>
        <v>22</v>
      </c>
      <c r="F42">
        <f t="shared" si="4"/>
        <v>22</v>
      </c>
    </row>
    <row r="43" spans="2:7" x14ac:dyDescent="0.15">
      <c r="B43" s="5">
        <v>23</v>
      </c>
      <c r="D43">
        <f t="shared" si="3"/>
        <v>23</v>
      </c>
      <c r="F43">
        <f t="shared" si="4"/>
        <v>23</v>
      </c>
    </row>
    <row r="44" spans="2:7" x14ac:dyDescent="0.15">
      <c r="B44" s="5">
        <v>24</v>
      </c>
      <c r="D44">
        <f t="shared" si="3"/>
        <v>24</v>
      </c>
      <c r="F44">
        <f t="shared" si="4"/>
        <v>24</v>
      </c>
    </row>
    <row r="45" spans="2:7" x14ac:dyDescent="0.15">
      <c r="B45" s="5">
        <v>25</v>
      </c>
      <c r="C45">
        <v>1.21702</v>
      </c>
      <c r="D45">
        <f t="shared" si="3"/>
        <v>25</v>
      </c>
      <c r="E45">
        <v>6.50542</v>
      </c>
      <c r="F45">
        <f t="shared" si="4"/>
        <v>25</v>
      </c>
      <c r="G45" s="6">
        <v>1.39866</v>
      </c>
    </row>
    <row r="46" spans="2:7" x14ac:dyDescent="0.15">
      <c r="B46" s="5">
        <v>26</v>
      </c>
      <c r="D46">
        <f t="shared" si="3"/>
        <v>26</v>
      </c>
      <c r="F46">
        <f t="shared" si="4"/>
        <v>26</v>
      </c>
    </row>
    <row r="47" spans="2:7" x14ac:dyDescent="0.15">
      <c r="B47" s="5">
        <v>27</v>
      </c>
      <c r="D47">
        <f t="shared" si="3"/>
        <v>27</v>
      </c>
      <c r="F47">
        <f t="shared" si="4"/>
        <v>27</v>
      </c>
    </row>
    <row r="48" spans="2:7" x14ac:dyDescent="0.15">
      <c r="B48" s="5">
        <v>28</v>
      </c>
      <c r="D48">
        <f t="shared" si="3"/>
        <v>28</v>
      </c>
      <c r="F48">
        <f t="shared" si="4"/>
        <v>28</v>
      </c>
    </row>
    <row r="49" spans="2:7" x14ac:dyDescent="0.15">
      <c r="B49" s="5">
        <v>29</v>
      </c>
      <c r="D49">
        <f t="shared" si="3"/>
        <v>29</v>
      </c>
      <c r="F49">
        <f t="shared" si="4"/>
        <v>29</v>
      </c>
    </row>
    <row r="50" spans="2:7" x14ac:dyDescent="0.15">
      <c r="B50" s="5">
        <v>30</v>
      </c>
      <c r="C50">
        <v>1.2943899999999999</v>
      </c>
      <c r="D50">
        <f t="shared" si="3"/>
        <v>30</v>
      </c>
      <c r="E50">
        <v>6.625</v>
      </c>
      <c r="F50">
        <f t="shared" si="4"/>
        <v>30</v>
      </c>
      <c r="G50" s="6">
        <v>1.4801299999999999</v>
      </c>
    </row>
    <row r="51" spans="2:7" x14ac:dyDescent="0.15">
      <c r="B51" s="5">
        <v>31</v>
      </c>
      <c r="D51">
        <f t="shared" si="3"/>
        <v>31</v>
      </c>
      <c r="F51">
        <f t="shared" si="4"/>
        <v>31</v>
      </c>
    </row>
    <row r="52" spans="2:7" x14ac:dyDescent="0.15">
      <c r="B52" s="5">
        <v>32</v>
      </c>
      <c r="D52">
        <f t="shared" si="3"/>
        <v>32</v>
      </c>
      <c r="F52">
        <f t="shared" si="4"/>
        <v>32</v>
      </c>
    </row>
    <row r="53" spans="2:7" x14ac:dyDescent="0.15">
      <c r="B53" s="5">
        <v>33</v>
      </c>
      <c r="D53">
        <f t="shared" si="3"/>
        <v>33</v>
      </c>
      <c r="F53">
        <f t="shared" si="4"/>
        <v>33</v>
      </c>
    </row>
    <row r="54" spans="2:7" x14ac:dyDescent="0.15">
      <c r="B54" s="5">
        <v>34</v>
      </c>
      <c r="D54">
        <f t="shared" si="3"/>
        <v>34</v>
      </c>
      <c r="F54">
        <f t="shared" si="4"/>
        <v>34</v>
      </c>
    </row>
    <row r="55" spans="2:7" x14ac:dyDescent="0.15">
      <c r="B55" s="5">
        <v>35</v>
      </c>
      <c r="C55">
        <v>1.3572500000000001</v>
      </c>
      <c r="D55">
        <f t="shared" si="3"/>
        <v>35</v>
      </c>
      <c r="E55">
        <v>6.6270300000000004</v>
      </c>
      <c r="F55">
        <f t="shared" si="4"/>
        <v>35</v>
      </c>
      <c r="G55" s="6">
        <v>1.5431299999999999</v>
      </c>
    </row>
    <row r="56" spans="2:7" x14ac:dyDescent="0.15">
      <c r="B56" s="5">
        <v>36</v>
      </c>
      <c r="D56">
        <f t="shared" si="3"/>
        <v>36</v>
      </c>
      <c r="F56">
        <f t="shared" si="4"/>
        <v>36</v>
      </c>
    </row>
    <row r="57" spans="2:7" x14ac:dyDescent="0.15">
      <c r="B57" s="5">
        <v>37</v>
      </c>
      <c r="D57">
        <f t="shared" si="3"/>
        <v>37</v>
      </c>
      <c r="F57">
        <f t="shared" si="4"/>
        <v>37</v>
      </c>
    </row>
    <row r="58" spans="2:7" x14ac:dyDescent="0.15">
      <c r="B58" s="5">
        <v>38</v>
      </c>
      <c r="D58">
        <f t="shared" si="3"/>
        <v>38</v>
      </c>
      <c r="F58">
        <f t="shared" si="4"/>
        <v>38</v>
      </c>
    </row>
    <row r="59" spans="2:7" x14ac:dyDescent="0.15">
      <c r="B59" s="5">
        <v>39</v>
      </c>
      <c r="D59">
        <f t="shared" si="3"/>
        <v>39</v>
      </c>
      <c r="F59">
        <f t="shared" si="4"/>
        <v>39</v>
      </c>
    </row>
    <row r="60" spans="2:7" x14ac:dyDescent="0.15">
      <c r="B60" s="5">
        <v>40</v>
      </c>
      <c r="C60">
        <v>1.40907</v>
      </c>
      <c r="D60">
        <f t="shared" si="3"/>
        <v>40</v>
      </c>
      <c r="E60">
        <v>6.6287200000000004</v>
      </c>
      <c r="F60">
        <f t="shared" si="4"/>
        <v>40</v>
      </c>
      <c r="G60" s="6">
        <v>1.5963799999999999</v>
      </c>
    </row>
    <row r="61" spans="2:7" x14ac:dyDescent="0.15">
      <c r="D61">
        <f t="shared" ref="D61" si="5">B61*1</f>
        <v>0</v>
      </c>
    </row>
  </sheetData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Holiday</vt:lpstr>
      <vt:lpstr>market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</dc:creator>
  <cp:lastModifiedBy>Maxwell</cp:lastModifiedBy>
  <dcterms:created xsi:type="dcterms:W3CDTF">2015-05-16T00:48:53Z</dcterms:created>
  <dcterms:modified xsi:type="dcterms:W3CDTF">2015-05-23T09:22:36Z</dcterms:modified>
</cp:coreProperties>
</file>