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xwell\Desktop\VBA\"/>
    </mc:Choice>
  </mc:AlternateContent>
  <bookViews>
    <workbookView xWindow="0" yWindow="0" windowWidth="22830" windowHeight="13215" activeTab="1"/>
  </bookViews>
  <sheets>
    <sheet name="Holiday" sheetId="2" r:id="rId1"/>
    <sheet name="MarketData-&gt;Df" sheetId="1" r:id="rId2"/>
  </sheets>
  <functionGroups builtInGroupCount="18"/>
  <definedNames>
    <definedName name="OisSwapRate">'MarketData-&gt;Df'!$D$5:$D$60</definedName>
    <definedName name="test">'MarketData-&gt;Df'!$S$12:$T$14</definedName>
    <definedName name="YearFrac">'MarketData-&gt;Df'!$C$5:$C$60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</calcChain>
</file>

<file path=xl/sharedStrings.xml><?xml version="1.0" encoding="utf-8"?>
<sst xmlns="http://schemas.openxmlformats.org/spreadsheetml/2006/main" count="17" uniqueCount="17">
  <si>
    <t>w</t>
    <phoneticPr fontId="2"/>
  </si>
  <si>
    <t>m</t>
    <phoneticPr fontId="2"/>
  </si>
  <si>
    <t>y</t>
    <phoneticPr fontId="2"/>
  </si>
  <si>
    <t>OIS</t>
  </si>
  <si>
    <t>year frac</t>
    <phoneticPr fontId="2"/>
  </si>
  <si>
    <t>Holiday</t>
    <phoneticPr fontId="2"/>
  </si>
  <si>
    <t>swap</t>
    <phoneticPr fontId="2"/>
  </si>
  <si>
    <t>ACT/365</t>
  </si>
  <si>
    <t>Libor3M</t>
  </si>
  <si>
    <t>Libor6M</t>
  </si>
  <si>
    <t>Market data -&gt; Discount Factor</t>
    <phoneticPr fontId="2"/>
  </si>
  <si>
    <t>d o/n</t>
    <phoneticPr fontId="2"/>
  </si>
  <si>
    <t>t/n</t>
    <phoneticPr fontId="2"/>
  </si>
  <si>
    <t>Discount factor</t>
    <phoneticPr fontId="2"/>
  </si>
  <si>
    <r>
      <t>2</t>
    </r>
    <r>
      <rPr>
        <sz val="11"/>
        <color theme="0"/>
        <rFont val="ＭＳ Ｐゴシック"/>
        <family val="3"/>
        <charset val="128"/>
        <scheme val="minor"/>
      </rPr>
      <t>d</t>
    </r>
    <phoneticPr fontId="2"/>
  </si>
  <si>
    <t>PaymentDay</t>
    <phoneticPr fontId="2"/>
  </si>
  <si>
    <t>SplinedRates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</si>
</sst>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0" formatCode="#&quot;w&quot;"/>
    <numFmt numFmtId="183" formatCode="#&quot;m&quot;"/>
    <numFmt numFmtId="184" formatCode="#&quot;y&quot;"/>
    <numFmt numFmtId="186" formatCode="#&quot;d&quot;"/>
  </numFmts>
  <fonts count="8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sz val="24"/>
      <color indexed="1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2" borderId="0" xfId="1">
      <alignment vertical="center"/>
    </xf>
    <xf numFmtId="0" fontId="1" fillId="3" borderId="0" xfId="2">
      <alignment vertical="center"/>
    </xf>
    <xf numFmtId="0" fontId="1" fillId="4" borderId="0" xfId="0" applyFont="1" applyFill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7" fillId="0" borderId="0" xfId="0" applyFont="1">
      <alignment vertical="center"/>
    </xf>
    <xf numFmtId="0" fontId="1" fillId="5" borderId="0" xfId="0" applyFont="1" applyFill="1">
      <alignment vertical="center"/>
    </xf>
    <xf numFmtId="0" fontId="1" fillId="3" borderId="0" xfId="2" applyNumberFormat="1" applyAlignment="1">
      <alignment horizontal="right" vertical="center"/>
    </xf>
    <xf numFmtId="186" fontId="1" fillId="3" borderId="0" xfId="2" applyNumberFormat="1" applyAlignment="1">
      <alignment horizontal="right" vertical="center"/>
    </xf>
    <xf numFmtId="180" fontId="1" fillId="3" borderId="0" xfId="2" applyNumberFormat="1">
      <alignment vertical="center"/>
    </xf>
    <xf numFmtId="183" fontId="1" fillId="3" borderId="0" xfId="2" applyNumberFormat="1">
      <alignment vertical="center"/>
    </xf>
    <xf numFmtId="184" fontId="1" fillId="3" borderId="0" xfId="2" applyNumberFormat="1">
      <alignment vertical="center"/>
    </xf>
    <xf numFmtId="0" fontId="1" fillId="2" borderId="0" xfId="1" applyBorder="1">
      <alignment vertical="center"/>
    </xf>
  </cellXfs>
  <cellStyles count="3">
    <cellStyle name="アクセント 3" xfId="1" builtinId="37"/>
    <cellStyle name="アクセント 6" xfId="2" builtinId="49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altLang="ja-JP"/>
              <a:t>Market</a:t>
            </a:r>
            <a:r>
              <a:rPr lang="en-US" altLang="ja-JP" baseline="0"/>
              <a:t>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16920384951881"/>
          <c:y val="0.15364103602805276"/>
          <c:w val="0.77599737532808399"/>
          <c:h val="0.67465073296706068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'MarketData-&gt;Df'!$D$4</c:f>
              <c:strCache>
                <c:ptCount val="1"/>
                <c:pt idx="0">
                  <c:v>OIS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'MarketData-&gt;Df'!$C$5:$C$60</c:f>
              <c:numCache>
                <c:formatCode>General</c:formatCode>
                <c:ptCount val="56"/>
                <c:pt idx="0">
                  <c:v>2.7397260273972603E-3</c:v>
                </c:pt>
                <c:pt idx="2">
                  <c:v>1.9178082191780823E-2</c:v>
                </c:pt>
                <c:pt idx="3">
                  <c:v>3.8356164383561646E-2</c:v>
                </c:pt>
                <c:pt idx="4">
                  <c:v>5.7534246575342465E-2</c:v>
                </c:pt>
                <c:pt idx="5">
                  <c:v>8.2191780821917804E-2</c:v>
                </c:pt>
                <c:pt idx="6">
                  <c:v>0.16438356164383561</c:v>
                </c:pt>
                <c:pt idx="7">
                  <c:v>0.24657534246575341</c:v>
                </c:pt>
                <c:pt idx="8">
                  <c:v>0.32876712328767121</c:v>
                </c:pt>
                <c:pt idx="9">
                  <c:v>0.41095890410958902</c:v>
                </c:pt>
                <c:pt idx="10">
                  <c:v>0.49315068493150682</c:v>
                </c:pt>
                <c:pt idx="11">
                  <c:v>0.57534246575342463</c:v>
                </c:pt>
                <c:pt idx="12">
                  <c:v>0.65753424657534243</c:v>
                </c:pt>
                <c:pt idx="13">
                  <c:v>0.73972602739726023</c:v>
                </c:pt>
                <c:pt idx="14">
                  <c:v>0.82191780821917804</c:v>
                </c:pt>
                <c:pt idx="15">
                  <c:v>0.90410958904109584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31</c:v>
                </c:pt>
                <c:pt idx="47">
                  <c:v>32</c:v>
                </c:pt>
                <c:pt idx="48">
                  <c:v>33</c:v>
                </c:pt>
                <c:pt idx="49">
                  <c:v>34</c:v>
                </c:pt>
                <c:pt idx="50">
                  <c:v>35</c:v>
                </c:pt>
                <c:pt idx="51">
                  <c:v>36</c:v>
                </c:pt>
                <c:pt idx="52">
                  <c:v>37</c:v>
                </c:pt>
                <c:pt idx="53">
                  <c:v>38</c:v>
                </c:pt>
                <c:pt idx="54">
                  <c:v>39</c:v>
                </c:pt>
                <c:pt idx="55">
                  <c:v>40</c:v>
                </c:pt>
              </c:numCache>
            </c:numRef>
          </c:xVal>
          <c:yVal>
            <c:numRef>
              <c:f>'MarketData-&gt;Df'!$D$5:$D$60</c:f>
              <c:numCache>
                <c:formatCode>General</c:formatCode>
                <c:ptCount val="56"/>
                <c:pt idx="0">
                  <c:v>6.9940000000000002E-2</c:v>
                </c:pt>
                <c:pt idx="2">
                  <c:v>6.7500000000000004E-2</c:v>
                </c:pt>
                <c:pt idx="3">
                  <c:v>6.5960000000000005E-2</c:v>
                </c:pt>
                <c:pt idx="4">
                  <c:v>6.4490000000000006E-2</c:v>
                </c:pt>
                <c:pt idx="5">
                  <c:v>6.4420000000000005E-2</c:v>
                </c:pt>
                <c:pt idx="6">
                  <c:v>6.2850000000000003E-2</c:v>
                </c:pt>
                <c:pt idx="7">
                  <c:v>6.2080000000000003E-2</c:v>
                </c:pt>
                <c:pt idx="8">
                  <c:v>6.1379999999999997E-2</c:v>
                </c:pt>
                <c:pt idx="9">
                  <c:v>6.0789999999999997E-2</c:v>
                </c:pt>
                <c:pt idx="10">
                  <c:v>5.9400000000000001E-2</c:v>
                </c:pt>
                <c:pt idx="11">
                  <c:v>5.8479999999999997E-2</c:v>
                </c:pt>
                <c:pt idx="12">
                  <c:v>5.8169999999999999E-2</c:v>
                </c:pt>
                <c:pt idx="13">
                  <c:v>5.7270000000000001E-2</c:v>
                </c:pt>
                <c:pt idx="14">
                  <c:v>5.6989999999999999E-2</c:v>
                </c:pt>
                <c:pt idx="15">
                  <c:v>5.672E-2</c:v>
                </c:pt>
                <c:pt idx="16">
                  <c:v>5.654E-2</c:v>
                </c:pt>
                <c:pt idx="17">
                  <c:v>5.9900000000000002E-2</c:v>
                </c:pt>
                <c:pt idx="18">
                  <c:v>7.8759999999999997E-2</c:v>
                </c:pt>
                <c:pt idx="19">
                  <c:v>0.11620999999999999</c:v>
                </c:pt>
                <c:pt idx="20">
                  <c:v>0.16725999999999999</c:v>
                </c:pt>
                <c:pt idx="21">
                  <c:v>0.22347</c:v>
                </c:pt>
                <c:pt idx="22">
                  <c:v>0.28094999999999998</c:v>
                </c:pt>
                <c:pt idx="23">
                  <c:v>0.33840999999999999</c:v>
                </c:pt>
                <c:pt idx="24">
                  <c:v>0.39319999999999999</c:v>
                </c:pt>
                <c:pt idx="25">
                  <c:v>0.45117000000000002</c:v>
                </c:pt>
                <c:pt idx="26">
                  <c:v>0.51534999999999997</c:v>
                </c:pt>
                <c:pt idx="27">
                  <c:v>0.58286000000000004</c:v>
                </c:pt>
                <c:pt idx="30">
                  <c:v>0.79310999999999998</c:v>
                </c:pt>
                <c:pt idx="35">
                  <c:v>1.0664400000000001</c:v>
                </c:pt>
                <c:pt idx="40">
                  <c:v>1.21702</c:v>
                </c:pt>
                <c:pt idx="45">
                  <c:v>1.2943899999999999</c:v>
                </c:pt>
                <c:pt idx="50">
                  <c:v>1.3572500000000001</c:v>
                </c:pt>
                <c:pt idx="55">
                  <c:v>1.40907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'MarketData-&gt;Df'!$E$4</c:f>
              <c:strCache>
                <c:ptCount val="1"/>
                <c:pt idx="0">
                  <c:v>Libor3M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'MarketData-&gt;Df'!$C$5:$C$60</c:f>
              <c:numCache>
                <c:formatCode>General</c:formatCode>
                <c:ptCount val="56"/>
                <c:pt idx="0">
                  <c:v>2.7397260273972603E-3</c:v>
                </c:pt>
                <c:pt idx="2">
                  <c:v>1.9178082191780823E-2</c:v>
                </c:pt>
                <c:pt idx="3">
                  <c:v>3.8356164383561646E-2</c:v>
                </c:pt>
                <c:pt idx="4">
                  <c:v>5.7534246575342465E-2</c:v>
                </c:pt>
                <c:pt idx="5">
                  <c:v>8.2191780821917804E-2</c:v>
                </c:pt>
                <c:pt idx="6">
                  <c:v>0.16438356164383561</c:v>
                </c:pt>
                <c:pt idx="7">
                  <c:v>0.24657534246575341</c:v>
                </c:pt>
                <c:pt idx="8">
                  <c:v>0.32876712328767121</c:v>
                </c:pt>
                <c:pt idx="9">
                  <c:v>0.41095890410958902</c:v>
                </c:pt>
                <c:pt idx="10">
                  <c:v>0.49315068493150682</c:v>
                </c:pt>
                <c:pt idx="11">
                  <c:v>0.57534246575342463</c:v>
                </c:pt>
                <c:pt idx="12">
                  <c:v>0.65753424657534243</c:v>
                </c:pt>
                <c:pt idx="13">
                  <c:v>0.73972602739726023</c:v>
                </c:pt>
                <c:pt idx="14">
                  <c:v>0.82191780821917804</c:v>
                </c:pt>
                <c:pt idx="15">
                  <c:v>0.90410958904109584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31</c:v>
                </c:pt>
                <c:pt idx="47">
                  <c:v>32</c:v>
                </c:pt>
                <c:pt idx="48">
                  <c:v>33</c:v>
                </c:pt>
                <c:pt idx="49">
                  <c:v>34</c:v>
                </c:pt>
                <c:pt idx="50">
                  <c:v>35</c:v>
                </c:pt>
                <c:pt idx="51">
                  <c:v>36</c:v>
                </c:pt>
                <c:pt idx="52">
                  <c:v>37</c:v>
                </c:pt>
                <c:pt idx="53">
                  <c:v>38</c:v>
                </c:pt>
                <c:pt idx="54">
                  <c:v>39</c:v>
                </c:pt>
                <c:pt idx="55">
                  <c:v>40</c:v>
                </c:pt>
              </c:numCache>
            </c:numRef>
          </c:xVal>
          <c:yVal>
            <c:numRef>
              <c:f>'MarketData-&gt;Df'!$E$5:$E$60</c:f>
              <c:numCache>
                <c:formatCode>General</c:formatCode>
                <c:ptCount val="56"/>
                <c:pt idx="7">
                  <c:v>0.10092</c:v>
                </c:pt>
                <c:pt idx="8">
                  <c:v>0.10236000000000001</c:v>
                </c:pt>
                <c:pt idx="9">
                  <c:v>0.10274</c:v>
                </c:pt>
                <c:pt idx="10">
                  <c:v>0.10391</c:v>
                </c:pt>
                <c:pt idx="11">
                  <c:v>0.10406</c:v>
                </c:pt>
                <c:pt idx="12">
                  <c:v>0.10421</c:v>
                </c:pt>
                <c:pt idx="13">
                  <c:v>0.10513</c:v>
                </c:pt>
                <c:pt idx="14">
                  <c:v>0.10614</c:v>
                </c:pt>
                <c:pt idx="15">
                  <c:v>0.10752</c:v>
                </c:pt>
                <c:pt idx="16">
                  <c:v>3.26953</c:v>
                </c:pt>
                <c:pt idx="17">
                  <c:v>3.5134300000000001</c:v>
                </c:pt>
                <c:pt idx="18">
                  <c:v>3.75</c:v>
                </c:pt>
                <c:pt idx="19">
                  <c:v>4</c:v>
                </c:pt>
                <c:pt idx="20">
                  <c:v>4.25</c:v>
                </c:pt>
                <c:pt idx="21">
                  <c:v>4.625</c:v>
                </c:pt>
                <c:pt idx="22">
                  <c:v>5</c:v>
                </c:pt>
                <c:pt idx="23">
                  <c:v>5.375</c:v>
                </c:pt>
                <c:pt idx="24">
                  <c:v>5.3875000000000002</c:v>
                </c:pt>
                <c:pt idx="25">
                  <c:v>6.25</c:v>
                </c:pt>
                <c:pt idx="27">
                  <c:v>6.2545000000000002</c:v>
                </c:pt>
                <c:pt idx="30">
                  <c:v>6.38035</c:v>
                </c:pt>
                <c:pt idx="35">
                  <c:v>6.5004600000000003</c:v>
                </c:pt>
                <c:pt idx="40">
                  <c:v>6.50542</c:v>
                </c:pt>
                <c:pt idx="45">
                  <c:v>6.625</c:v>
                </c:pt>
                <c:pt idx="50">
                  <c:v>6.6270300000000004</c:v>
                </c:pt>
                <c:pt idx="55">
                  <c:v>6.6287200000000004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'MarketData-&gt;Df'!$F$4</c:f>
              <c:strCache>
                <c:ptCount val="1"/>
                <c:pt idx="0">
                  <c:v>Libor6M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6350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'MarketData-&gt;Df'!$C$5:$C$60</c:f>
              <c:numCache>
                <c:formatCode>General</c:formatCode>
                <c:ptCount val="56"/>
                <c:pt idx="0">
                  <c:v>2.7397260273972603E-3</c:v>
                </c:pt>
                <c:pt idx="2">
                  <c:v>1.9178082191780823E-2</c:v>
                </c:pt>
                <c:pt idx="3">
                  <c:v>3.8356164383561646E-2</c:v>
                </c:pt>
                <c:pt idx="4">
                  <c:v>5.7534246575342465E-2</c:v>
                </c:pt>
                <c:pt idx="5">
                  <c:v>8.2191780821917804E-2</c:v>
                </c:pt>
                <c:pt idx="6">
                  <c:v>0.16438356164383561</c:v>
                </c:pt>
                <c:pt idx="7">
                  <c:v>0.24657534246575341</c:v>
                </c:pt>
                <c:pt idx="8">
                  <c:v>0.32876712328767121</c:v>
                </c:pt>
                <c:pt idx="9">
                  <c:v>0.41095890410958902</c:v>
                </c:pt>
                <c:pt idx="10">
                  <c:v>0.49315068493150682</c:v>
                </c:pt>
                <c:pt idx="11">
                  <c:v>0.57534246575342463</c:v>
                </c:pt>
                <c:pt idx="12">
                  <c:v>0.65753424657534243</c:v>
                </c:pt>
                <c:pt idx="13">
                  <c:v>0.73972602739726023</c:v>
                </c:pt>
                <c:pt idx="14">
                  <c:v>0.82191780821917804</c:v>
                </c:pt>
                <c:pt idx="15">
                  <c:v>0.90410958904109584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31</c:v>
                </c:pt>
                <c:pt idx="47">
                  <c:v>32</c:v>
                </c:pt>
                <c:pt idx="48">
                  <c:v>33</c:v>
                </c:pt>
                <c:pt idx="49">
                  <c:v>34</c:v>
                </c:pt>
                <c:pt idx="50">
                  <c:v>35</c:v>
                </c:pt>
                <c:pt idx="51">
                  <c:v>36</c:v>
                </c:pt>
                <c:pt idx="52">
                  <c:v>37</c:v>
                </c:pt>
                <c:pt idx="53">
                  <c:v>38</c:v>
                </c:pt>
                <c:pt idx="54">
                  <c:v>39</c:v>
                </c:pt>
                <c:pt idx="55">
                  <c:v>40</c:v>
                </c:pt>
              </c:numCache>
            </c:numRef>
          </c:xVal>
          <c:yVal>
            <c:numRef>
              <c:f>'MarketData-&gt;Df'!$F$5:$F$60</c:f>
              <c:numCache>
                <c:formatCode>General</c:formatCode>
                <c:ptCount val="56"/>
                <c:pt idx="10">
                  <c:v>0.13905999999999999</c:v>
                </c:pt>
                <c:pt idx="11">
                  <c:v>0.13788</c:v>
                </c:pt>
                <c:pt idx="12">
                  <c:v>0.13757</c:v>
                </c:pt>
                <c:pt idx="13">
                  <c:v>0.13750999999999999</c:v>
                </c:pt>
                <c:pt idx="14">
                  <c:v>0.13802</c:v>
                </c:pt>
                <c:pt idx="15">
                  <c:v>0.13783999999999999</c:v>
                </c:pt>
                <c:pt idx="16">
                  <c:v>0.14000000000000001</c:v>
                </c:pt>
                <c:pt idx="17">
                  <c:v>0.15</c:v>
                </c:pt>
                <c:pt idx="18">
                  <c:v>0.17496</c:v>
                </c:pt>
                <c:pt idx="19">
                  <c:v>0.21745999999999999</c:v>
                </c:pt>
                <c:pt idx="20">
                  <c:v>0.27495999999999998</c:v>
                </c:pt>
                <c:pt idx="21">
                  <c:v>0.34122999999999998</c:v>
                </c:pt>
                <c:pt idx="22">
                  <c:v>0.41</c:v>
                </c:pt>
                <c:pt idx="23">
                  <c:v>0.47870000000000001</c:v>
                </c:pt>
                <c:pt idx="24">
                  <c:v>0.54500000000000004</c:v>
                </c:pt>
                <c:pt idx="25">
                  <c:v>0.61375000000000002</c:v>
                </c:pt>
                <c:pt idx="27">
                  <c:v>0.75500999999999996</c:v>
                </c:pt>
                <c:pt idx="30">
                  <c:v>0.96875</c:v>
                </c:pt>
                <c:pt idx="35">
                  <c:v>1.2456700000000001</c:v>
                </c:pt>
                <c:pt idx="40">
                  <c:v>1.39866</c:v>
                </c:pt>
                <c:pt idx="45">
                  <c:v>1.4801299999999999</c:v>
                </c:pt>
                <c:pt idx="50">
                  <c:v>1.5431299999999999</c:v>
                </c:pt>
                <c:pt idx="55">
                  <c:v>1.5963799999999999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1192"/>
        <c:axId val="552810800"/>
      </c:scatterChart>
      <c:valAx>
        <c:axId val="552811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810800"/>
        <c:crosses val="autoZero"/>
        <c:crossBetween val="midCat"/>
      </c:valAx>
      <c:valAx>
        <c:axId val="55281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Settelement Rates 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2.7208223972003495E-2"/>
              <c:y val="0.317133639545056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811192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542629046369195"/>
          <c:y val="0.28543332404992783"/>
          <c:w val="0.13871039557555306"/>
          <c:h val="0.222040951084075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4</xdr:row>
      <xdr:rowOff>142874</xdr:rowOff>
    </xdr:from>
    <xdr:to>
      <xdr:col>12</xdr:col>
      <xdr:colOff>504825</xdr:colOff>
      <xdr:row>21</xdr:row>
      <xdr:rowOff>123825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390525</xdr:colOff>
          <xdr:row>3</xdr:row>
          <xdr:rowOff>114300</xdr:rowOff>
        </xdr:from>
        <xdr:to>
          <xdr:col>19</xdr:col>
          <xdr:colOff>314325</xdr:colOff>
          <xdr:row>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"/>
  <dimension ref="A1:K1"/>
  <sheetViews>
    <sheetView workbookViewId="0">
      <selection activeCell="K26" sqref="K26"/>
    </sheetView>
  </sheetViews>
  <sheetFormatPr defaultRowHeight="13.5"/>
  <sheetData>
    <row r="1" spans="1:11" ht="28.5">
      <c r="A1" s="7" t="s">
        <v>5</v>
      </c>
      <c r="K1" s="6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rketData"/>
  <dimension ref="A1:V65"/>
  <sheetViews>
    <sheetView tabSelected="1" workbookViewId="0">
      <selection activeCell="S8" sqref="S8"/>
    </sheetView>
  </sheetViews>
  <sheetFormatPr defaultRowHeight="13.5"/>
  <cols>
    <col min="1" max="1" width="21.125" bestFit="1" customWidth="1"/>
    <col min="2" max="2" width="4.875" bestFit="1" customWidth="1"/>
    <col min="3" max="3" width="12.75" bestFit="1" customWidth="1"/>
    <col min="4" max="4" width="13" bestFit="1" customWidth="1"/>
    <col min="5" max="6" width="13.125" bestFit="1" customWidth="1"/>
    <col min="7" max="7" width="2.5" customWidth="1"/>
    <col min="8" max="8" width="13.125" style="4" bestFit="1" customWidth="1"/>
    <col min="14" max="14" width="11.75" bestFit="1" customWidth="1"/>
    <col min="15" max="15" width="11.5" bestFit="1" customWidth="1"/>
    <col min="16" max="16" width="14.375" bestFit="1" customWidth="1"/>
  </cols>
  <sheetData>
    <row r="1" spans="1:22" ht="25.5">
      <c r="A1" s="5" t="s">
        <v>10</v>
      </c>
    </row>
    <row r="3" spans="1:22">
      <c r="C3" t="s">
        <v>4</v>
      </c>
      <c r="D3" t="s">
        <v>6</v>
      </c>
    </row>
    <row r="4" spans="1:22">
      <c r="C4" s="3" t="s">
        <v>7</v>
      </c>
      <c r="D4" s="8" t="s">
        <v>3</v>
      </c>
      <c r="E4" s="8" t="s">
        <v>8</v>
      </c>
      <c r="F4" s="8" t="s">
        <v>9</v>
      </c>
      <c r="H4"/>
      <c r="N4" s="1" t="s">
        <v>16</v>
      </c>
      <c r="O4" s="1" t="s">
        <v>15</v>
      </c>
      <c r="P4" s="14" t="s">
        <v>13</v>
      </c>
    </row>
    <row r="5" spans="1:22">
      <c r="A5" s="9" t="s">
        <v>11</v>
      </c>
      <c r="B5" s="10">
        <v>1</v>
      </c>
      <c r="C5">
        <f>B5/365</f>
        <v>2.7397260273972603E-3</v>
      </c>
      <c r="D5">
        <v>6.9940000000000002E-2</v>
      </c>
      <c r="F5" s="4"/>
      <c r="G5" s="2"/>
      <c r="H5" s="2"/>
      <c r="I5" s="2"/>
      <c r="J5" s="2"/>
      <c r="K5" s="2"/>
      <c r="L5" s="2"/>
      <c r="M5" s="2"/>
    </row>
    <row r="6" spans="1:22">
      <c r="A6" s="9" t="s">
        <v>12</v>
      </c>
      <c r="B6" s="10" t="s">
        <v>14</v>
      </c>
      <c r="F6" s="4"/>
      <c r="G6" s="2"/>
      <c r="H6" s="2"/>
      <c r="I6" s="2"/>
      <c r="J6" s="2"/>
      <c r="K6" s="2"/>
      <c r="L6" s="2"/>
      <c r="M6" s="2"/>
    </row>
    <row r="7" spans="1:22">
      <c r="A7" s="9" t="s">
        <v>0</v>
      </c>
      <c r="B7" s="11">
        <v>1</v>
      </c>
      <c r="C7">
        <f>B7*7/365</f>
        <v>1.9178082191780823E-2</v>
      </c>
      <c r="D7">
        <v>6.7500000000000004E-2</v>
      </c>
      <c r="F7" s="4"/>
      <c r="G7" s="2"/>
      <c r="H7" s="2"/>
      <c r="I7" s="2"/>
      <c r="J7" s="2"/>
      <c r="K7" s="2"/>
      <c r="L7" s="2"/>
      <c r="M7" s="2"/>
    </row>
    <row r="8" spans="1:22">
      <c r="A8" s="9"/>
      <c r="B8" s="11">
        <v>2</v>
      </c>
      <c r="C8">
        <f>B8*7/365</f>
        <v>3.8356164383561646E-2</v>
      </c>
      <c r="D8">
        <v>6.5960000000000005E-2</v>
      </c>
      <c r="F8" s="4"/>
      <c r="G8" s="2"/>
      <c r="H8" s="2"/>
      <c r="I8" s="2"/>
      <c r="J8" s="2"/>
      <c r="K8" s="2"/>
      <c r="L8" s="2"/>
      <c r="M8" s="2"/>
    </row>
    <row r="9" spans="1:22">
      <c r="A9" s="9"/>
      <c r="B9" s="11">
        <v>3</v>
      </c>
      <c r="C9">
        <f>B9*7/365</f>
        <v>5.7534246575342465E-2</v>
      </c>
      <c r="D9">
        <v>6.4490000000000006E-2</v>
      </c>
      <c r="F9" s="4"/>
      <c r="G9" s="2"/>
      <c r="H9" s="2"/>
      <c r="I9" s="2"/>
      <c r="J9" s="2"/>
      <c r="K9" s="2"/>
      <c r="L9" s="2"/>
      <c r="M9" s="2"/>
    </row>
    <row r="10" spans="1:22">
      <c r="A10" s="9" t="s">
        <v>1</v>
      </c>
      <c r="B10" s="12">
        <v>1</v>
      </c>
      <c r="C10">
        <f>B10*30/365</f>
        <v>8.2191780821917804E-2</v>
      </c>
      <c r="D10">
        <v>6.4420000000000005E-2</v>
      </c>
      <c r="F10" s="4"/>
      <c r="G10" s="2"/>
      <c r="H10" s="2"/>
      <c r="I10" s="2"/>
      <c r="J10" s="2"/>
      <c r="K10" s="2"/>
      <c r="L10" s="2"/>
      <c r="M10" s="2"/>
    </row>
    <row r="11" spans="1:22">
      <c r="A11" s="9"/>
      <c r="B11" s="12">
        <v>2</v>
      </c>
      <c r="C11">
        <f>B11*30/365</f>
        <v>0.16438356164383561</v>
      </c>
      <c r="D11">
        <v>6.2850000000000003E-2</v>
      </c>
      <c r="F11" s="4"/>
      <c r="G11" s="2"/>
      <c r="H11" s="2"/>
      <c r="I11" s="2"/>
      <c r="J11" s="2"/>
      <c r="K11" s="2"/>
      <c r="L11" s="2"/>
      <c r="M11" s="2"/>
    </row>
    <row r="12" spans="1:22">
      <c r="A12" s="9"/>
      <c r="B12" s="12">
        <v>3</v>
      </c>
      <c r="C12">
        <f>B12*30/365</f>
        <v>0.24657534246575341</v>
      </c>
      <c r="D12">
        <v>6.2080000000000003E-2</v>
      </c>
      <c r="E12">
        <v>0.10092</v>
      </c>
      <c r="F12" s="4"/>
      <c r="G12" s="2"/>
      <c r="H12" s="2"/>
      <c r="I12" s="2"/>
      <c r="J12" s="2"/>
      <c r="K12" s="2"/>
      <c r="L12" s="2"/>
      <c r="M12" s="2"/>
      <c r="S12">
        <v>1</v>
      </c>
      <c r="T12">
        <v>3</v>
      </c>
      <c r="V12">
        <v>5</v>
      </c>
    </row>
    <row r="13" spans="1:22">
      <c r="A13" s="9"/>
      <c r="B13" s="12">
        <v>4</v>
      </c>
      <c r="C13">
        <f>B13*30/365</f>
        <v>0.32876712328767121</v>
      </c>
      <c r="D13">
        <v>6.1379999999999997E-2</v>
      </c>
      <c r="E13">
        <v>0.10236000000000001</v>
      </c>
      <c r="F13" s="4"/>
      <c r="G13" s="2"/>
      <c r="H13" s="2"/>
      <c r="I13" s="2"/>
      <c r="J13" s="2"/>
      <c r="K13" s="2"/>
      <c r="L13" s="2"/>
      <c r="M13" s="2"/>
      <c r="S13">
        <v>2</v>
      </c>
      <c r="T13">
        <v>4</v>
      </c>
      <c r="V13">
        <v>6</v>
      </c>
    </row>
    <row r="14" spans="1:22">
      <c r="A14" s="9"/>
      <c r="B14" s="12">
        <v>5</v>
      </c>
      <c r="C14">
        <f>B14*30/365</f>
        <v>0.41095890410958902</v>
      </c>
      <c r="D14">
        <v>6.0789999999999997E-2</v>
      </c>
      <c r="E14">
        <v>0.10274</v>
      </c>
      <c r="F14" s="4"/>
      <c r="G14" s="2"/>
      <c r="H14" s="2"/>
      <c r="I14" s="2"/>
      <c r="J14" s="2"/>
      <c r="K14" s="2"/>
      <c r="L14" s="2"/>
      <c r="M14" s="2"/>
      <c r="S14">
        <v>10</v>
      </c>
      <c r="T14">
        <v>11</v>
      </c>
    </row>
    <row r="15" spans="1:22">
      <c r="A15" s="9"/>
      <c r="B15" s="12">
        <v>6</v>
      </c>
      <c r="C15">
        <f>B15*30/365</f>
        <v>0.49315068493150682</v>
      </c>
      <c r="D15">
        <v>5.9400000000000001E-2</v>
      </c>
      <c r="E15">
        <v>0.10391</v>
      </c>
      <c r="F15" s="4">
        <v>0.13905999999999999</v>
      </c>
      <c r="G15" s="2"/>
      <c r="H15" s="2"/>
      <c r="I15" s="2"/>
      <c r="J15" s="2"/>
      <c r="K15" s="2"/>
      <c r="L15" s="2"/>
      <c r="M15" s="2"/>
    </row>
    <row r="16" spans="1:22">
      <c r="A16" s="9"/>
      <c r="B16" s="12">
        <v>7</v>
      </c>
      <c r="C16">
        <f>B16*30/365</f>
        <v>0.57534246575342463</v>
      </c>
      <c r="D16">
        <v>5.8479999999999997E-2</v>
      </c>
      <c r="E16">
        <v>0.10406</v>
      </c>
      <c r="F16" s="4">
        <v>0.13788</v>
      </c>
      <c r="G16" s="2"/>
      <c r="H16" s="2"/>
      <c r="I16" s="2"/>
      <c r="J16" s="2"/>
      <c r="K16" s="2"/>
      <c r="L16" s="2"/>
      <c r="M16" s="2"/>
    </row>
    <row r="17" spans="1:13">
      <c r="A17" s="9"/>
      <c r="B17" s="12">
        <v>8</v>
      </c>
      <c r="C17">
        <f>B17*30/365</f>
        <v>0.65753424657534243</v>
      </c>
      <c r="D17">
        <v>5.8169999999999999E-2</v>
      </c>
      <c r="E17">
        <v>0.10421</v>
      </c>
      <c r="F17" s="4">
        <v>0.13757</v>
      </c>
      <c r="G17" s="2"/>
      <c r="H17" s="2"/>
      <c r="I17" s="2"/>
      <c r="J17" s="2"/>
      <c r="K17" s="2"/>
      <c r="L17" s="2"/>
      <c r="M17" s="2"/>
    </row>
    <row r="18" spans="1:13">
      <c r="A18" s="9"/>
      <c r="B18" s="12">
        <v>9</v>
      </c>
      <c r="C18">
        <f>B18*30/365</f>
        <v>0.73972602739726023</v>
      </c>
      <c r="D18">
        <v>5.7270000000000001E-2</v>
      </c>
      <c r="E18">
        <v>0.10513</v>
      </c>
      <c r="F18" s="4">
        <v>0.13750999999999999</v>
      </c>
      <c r="G18" s="2"/>
      <c r="H18" s="2"/>
      <c r="I18" s="2"/>
      <c r="J18" s="2"/>
      <c r="K18" s="2"/>
      <c r="L18" s="2"/>
      <c r="M18" s="2"/>
    </row>
    <row r="19" spans="1:13">
      <c r="A19" s="9"/>
      <c r="B19" s="12">
        <v>10</v>
      </c>
      <c r="C19">
        <f>B19*30/365</f>
        <v>0.82191780821917804</v>
      </c>
      <c r="D19">
        <v>5.6989999999999999E-2</v>
      </c>
      <c r="E19">
        <v>0.10614</v>
      </c>
      <c r="F19" s="4">
        <v>0.13802</v>
      </c>
      <c r="G19" s="2"/>
      <c r="H19" s="2"/>
      <c r="I19" s="2"/>
      <c r="J19" s="2"/>
      <c r="K19" s="2"/>
      <c r="L19" s="2"/>
      <c r="M19" s="2"/>
    </row>
    <row r="20" spans="1:13">
      <c r="A20" s="9"/>
      <c r="B20" s="12">
        <v>11</v>
      </c>
      <c r="C20">
        <f>B20*30/365</f>
        <v>0.90410958904109584</v>
      </c>
      <c r="D20">
        <v>5.672E-2</v>
      </c>
      <c r="E20">
        <v>0.10752</v>
      </c>
      <c r="F20" s="4">
        <v>0.13783999999999999</v>
      </c>
      <c r="G20" s="2"/>
      <c r="H20" s="2"/>
      <c r="I20" s="2"/>
      <c r="J20" s="2"/>
      <c r="K20" s="2"/>
      <c r="L20" s="2"/>
      <c r="M20" s="2"/>
    </row>
    <row r="21" spans="1:13">
      <c r="A21" s="9" t="s">
        <v>2</v>
      </c>
      <c r="B21" s="13">
        <v>1</v>
      </c>
      <c r="C21">
        <f>B21*1</f>
        <v>1</v>
      </c>
      <c r="D21">
        <v>5.654E-2</v>
      </c>
      <c r="E21">
        <v>3.26953</v>
      </c>
      <c r="F21" s="4">
        <v>0.14000000000000001</v>
      </c>
      <c r="G21" s="2"/>
      <c r="H21" s="2"/>
      <c r="I21" s="2"/>
      <c r="J21" s="2"/>
      <c r="K21" s="2"/>
      <c r="L21" s="2"/>
      <c r="M21" s="2"/>
    </row>
    <row r="22" spans="1:13">
      <c r="A22" s="2"/>
      <c r="B22" s="13">
        <v>2</v>
      </c>
      <c r="C22">
        <f>B22*1</f>
        <v>2</v>
      </c>
      <c r="D22">
        <v>5.9900000000000002E-2</v>
      </c>
      <c r="E22">
        <v>3.5134300000000001</v>
      </c>
      <c r="F22" s="4">
        <v>0.15</v>
      </c>
      <c r="G22" s="2"/>
      <c r="H22" s="2"/>
      <c r="I22" s="2"/>
      <c r="J22" s="2"/>
      <c r="K22" s="2"/>
      <c r="L22" s="2"/>
      <c r="M22" s="2"/>
    </row>
    <row r="23" spans="1:13">
      <c r="A23" s="2"/>
      <c r="B23" s="13">
        <v>3</v>
      </c>
      <c r="C23">
        <f>B23*1</f>
        <v>3</v>
      </c>
      <c r="D23">
        <v>7.8759999999999997E-2</v>
      </c>
      <c r="E23">
        <v>3.75</v>
      </c>
      <c r="F23" s="4">
        <v>0.17496</v>
      </c>
      <c r="G23" s="2"/>
      <c r="H23" s="2"/>
      <c r="I23" s="2"/>
      <c r="J23" s="2"/>
      <c r="K23" s="2"/>
      <c r="L23" s="2"/>
      <c r="M23" s="2"/>
    </row>
    <row r="24" spans="1:13">
      <c r="A24" s="2"/>
      <c r="B24" s="13">
        <v>4</v>
      </c>
      <c r="C24">
        <f>B24*1</f>
        <v>4</v>
      </c>
      <c r="D24">
        <v>0.11620999999999999</v>
      </c>
      <c r="E24">
        <v>4</v>
      </c>
      <c r="F24" s="4">
        <v>0.21745999999999999</v>
      </c>
      <c r="G24" s="2"/>
      <c r="H24" s="2"/>
      <c r="I24" s="2"/>
      <c r="J24" s="2"/>
      <c r="K24" s="2"/>
      <c r="L24" s="2"/>
      <c r="M24" s="2"/>
    </row>
    <row r="25" spans="1:13">
      <c r="A25" s="2"/>
      <c r="B25" s="13">
        <v>5</v>
      </c>
      <c r="C25">
        <f>B25*1</f>
        <v>5</v>
      </c>
      <c r="D25">
        <v>0.16725999999999999</v>
      </c>
      <c r="E25">
        <v>4.25</v>
      </c>
      <c r="F25" s="4">
        <v>0.27495999999999998</v>
      </c>
      <c r="G25" s="2"/>
      <c r="H25" s="2"/>
      <c r="I25" s="2"/>
      <c r="J25" s="2"/>
      <c r="K25" s="2"/>
      <c r="L25" s="2"/>
      <c r="M25" s="2"/>
    </row>
    <row r="26" spans="1:13">
      <c r="A26" s="2"/>
      <c r="B26" s="13">
        <v>6</v>
      </c>
      <c r="C26">
        <f>B26*1</f>
        <v>6</v>
      </c>
      <c r="D26">
        <v>0.22347</v>
      </c>
      <c r="E26">
        <v>4.625</v>
      </c>
      <c r="F26" s="4">
        <v>0.34122999999999998</v>
      </c>
      <c r="G26" s="2"/>
      <c r="H26" s="2"/>
      <c r="I26" s="2"/>
      <c r="J26" s="2"/>
      <c r="K26" s="2"/>
      <c r="L26" s="2"/>
      <c r="M26" s="2"/>
    </row>
    <row r="27" spans="1:13">
      <c r="A27" s="2"/>
      <c r="B27" s="13">
        <v>7</v>
      </c>
      <c r="C27">
        <f>B27*1</f>
        <v>7</v>
      </c>
      <c r="D27">
        <v>0.28094999999999998</v>
      </c>
      <c r="E27">
        <v>5</v>
      </c>
      <c r="F27" s="4">
        <v>0.41</v>
      </c>
      <c r="G27" s="2"/>
      <c r="H27" s="2"/>
      <c r="I27" s="2"/>
      <c r="J27" s="2"/>
      <c r="K27" s="2"/>
      <c r="L27" s="2"/>
      <c r="M27" s="2"/>
    </row>
    <row r="28" spans="1:13">
      <c r="A28" s="2"/>
      <c r="B28" s="13">
        <v>8</v>
      </c>
      <c r="C28">
        <f>B28*1</f>
        <v>8</v>
      </c>
      <c r="D28">
        <v>0.33840999999999999</v>
      </c>
      <c r="E28">
        <v>5.375</v>
      </c>
      <c r="F28" s="4">
        <v>0.47870000000000001</v>
      </c>
      <c r="G28" s="2"/>
      <c r="H28" s="2"/>
      <c r="I28" s="2"/>
      <c r="J28" s="2"/>
      <c r="K28" s="2"/>
      <c r="L28" s="2"/>
      <c r="M28" s="2"/>
    </row>
    <row r="29" spans="1:13">
      <c r="A29" s="2"/>
      <c r="B29" s="13">
        <v>9</v>
      </c>
      <c r="C29">
        <f>B29*1</f>
        <v>9</v>
      </c>
      <c r="D29">
        <v>0.39319999999999999</v>
      </c>
      <c r="E29">
        <v>5.3875000000000002</v>
      </c>
      <c r="F29" s="4">
        <v>0.54500000000000004</v>
      </c>
      <c r="G29" s="2"/>
      <c r="H29" s="2"/>
      <c r="I29" s="2"/>
      <c r="J29" s="2"/>
      <c r="K29" s="2"/>
      <c r="L29" s="2"/>
      <c r="M29" s="2"/>
    </row>
    <row r="30" spans="1:13">
      <c r="A30" s="2"/>
      <c r="B30" s="13">
        <v>10</v>
      </c>
      <c r="C30">
        <f>B30*1</f>
        <v>10</v>
      </c>
      <c r="D30">
        <v>0.45117000000000002</v>
      </c>
      <c r="E30">
        <v>6.25</v>
      </c>
      <c r="F30" s="4">
        <v>0.61375000000000002</v>
      </c>
      <c r="G30" s="2"/>
      <c r="H30" s="2"/>
      <c r="I30" s="2"/>
      <c r="J30" s="2"/>
      <c r="K30" s="2"/>
      <c r="L30" s="2"/>
      <c r="M30" s="2"/>
    </row>
    <row r="31" spans="1:13">
      <c r="A31" s="2"/>
      <c r="B31" s="13">
        <v>11</v>
      </c>
      <c r="C31">
        <f>B31*1</f>
        <v>11</v>
      </c>
      <c r="D31">
        <v>0.51534999999999997</v>
      </c>
      <c r="F31" s="4"/>
      <c r="G31" s="2"/>
      <c r="H31" s="2"/>
      <c r="I31" s="2"/>
      <c r="J31" s="2"/>
      <c r="K31" s="2"/>
      <c r="L31" s="2"/>
      <c r="M31" s="2"/>
    </row>
    <row r="32" spans="1:13">
      <c r="A32" s="2"/>
      <c r="B32" s="13">
        <v>12</v>
      </c>
      <c r="C32">
        <f>B32*1</f>
        <v>12</v>
      </c>
      <c r="D32">
        <v>0.58286000000000004</v>
      </c>
      <c r="E32">
        <v>6.2545000000000002</v>
      </c>
      <c r="F32" s="4">
        <v>0.75500999999999996</v>
      </c>
      <c r="G32" s="2"/>
      <c r="H32" s="2"/>
      <c r="I32" s="2"/>
      <c r="J32" s="2"/>
      <c r="K32" s="2"/>
      <c r="L32" s="2"/>
      <c r="M32" s="2"/>
    </row>
    <row r="33" spans="1:13">
      <c r="A33" s="2"/>
      <c r="B33" s="13">
        <v>13</v>
      </c>
      <c r="C33">
        <f>B33*1</f>
        <v>13</v>
      </c>
      <c r="F33" s="4"/>
      <c r="G33" s="2"/>
      <c r="H33" s="2"/>
      <c r="I33" s="2"/>
      <c r="J33" s="2"/>
      <c r="K33" s="2"/>
      <c r="L33" s="2"/>
      <c r="M33" s="2"/>
    </row>
    <row r="34" spans="1:13">
      <c r="A34" s="2"/>
      <c r="B34" s="13">
        <v>14</v>
      </c>
      <c r="C34">
        <f>B34*1</f>
        <v>14</v>
      </c>
      <c r="F34" s="4"/>
      <c r="G34" s="2"/>
      <c r="H34" s="2"/>
      <c r="I34" s="2"/>
      <c r="J34" s="2"/>
      <c r="K34" s="2"/>
      <c r="L34" s="2"/>
      <c r="M34" s="2"/>
    </row>
    <row r="35" spans="1:13">
      <c r="A35" s="2"/>
      <c r="B35" s="13">
        <v>15</v>
      </c>
      <c r="C35">
        <f>B35*1</f>
        <v>15</v>
      </c>
      <c r="D35">
        <v>0.79310999999999998</v>
      </c>
      <c r="E35">
        <v>6.38035</v>
      </c>
      <c r="F35" s="4">
        <v>0.96875</v>
      </c>
      <c r="G35" s="2"/>
      <c r="H35" s="2"/>
      <c r="I35" s="2"/>
      <c r="J35" s="2"/>
      <c r="K35" s="2"/>
      <c r="L35" s="2"/>
      <c r="M35" s="2"/>
    </row>
    <row r="36" spans="1:13">
      <c r="A36" s="2"/>
      <c r="B36" s="13">
        <v>16</v>
      </c>
      <c r="C36">
        <f>B36*1</f>
        <v>16</v>
      </c>
      <c r="F36" s="4"/>
      <c r="G36" s="2"/>
      <c r="H36" s="2"/>
      <c r="I36" s="2"/>
      <c r="J36" s="2"/>
      <c r="K36" s="2"/>
      <c r="L36" s="2"/>
      <c r="M36" s="2"/>
    </row>
    <row r="37" spans="1:13">
      <c r="A37" s="2"/>
      <c r="B37" s="13">
        <v>17</v>
      </c>
      <c r="C37">
        <f>B37*1</f>
        <v>17</v>
      </c>
      <c r="F37" s="4"/>
      <c r="G37" s="2"/>
      <c r="H37" s="2"/>
      <c r="I37" s="2"/>
      <c r="J37" s="2"/>
      <c r="K37" s="2"/>
      <c r="L37" s="2"/>
      <c r="M37" s="2"/>
    </row>
    <row r="38" spans="1:13">
      <c r="A38" s="2"/>
      <c r="B38" s="13">
        <v>18</v>
      </c>
      <c r="C38">
        <f>B38*1</f>
        <v>18</v>
      </c>
      <c r="F38" s="4"/>
      <c r="G38" s="2"/>
      <c r="H38" s="2"/>
      <c r="I38" s="2"/>
      <c r="J38" s="2"/>
      <c r="K38" s="2"/>
      <c r="L38" s="2"/>
      <c r="M38" s="2"/>
    </row>
    <row r="39" spans="1:13">
      <c r="A39" s="2"/>
      <c r="B39" s="13">
        <v>19</v>
      </c>
      <c r="C39">
        <f>B39*1</f>
        <v>19</v>
      </c>
      <c r="F39" s="4"/>
      <c r="G39" s="2"/>
      <c r="H39" s="2"/>
      <c r="I39" s="2"/>
      <c r="J39" s="2"/>
      <c r="K39" s="2"/>
      <c r="L39" s="2"/>
      <c r="M39" s="2"/>
    </row>
    <row r="40" spans="1:13">
      <c r="A40" s="2"/>
      <c r="B40" s="13">
        <v>20</v>
      </c>
      <c r="C40">
        <f>B40*1</f>
        <v>20</v>
      </c>
      <c r="D40">
        <v>1.0664400000000001</v>
      </c>
      <c r="E40">
        <v>6.5004600000000003</v>
      </c>
      <c r="F40" s="4">
        <v>1.2456700000000001</v>
      </c>
      <c r="G40" s="2"/>
      <c r="H40" s="2"/>
      <c r="I40" s="2"/>
      <c r="J40" s="2"/>
      <c r="K40" s="2"/>
      <c r="L40" s="2"/>
      <c r="M40" s="2"/>
    </row>
    <row r="41" spans="1:13">
      <c r="A41" s="2"/>
      <c r="B41" s="13">
        <v>21</v>
      </c>
      <c r="C41">
        <f>B41*1</f>
        <v>21</v>
      </c>
      <c r="F41" s="4"/>
      <c r="G41" s="2"/>
      <c r="H41" s="2"/>
      <c r="I41" s="2"/>
      <c r="J41" s="2"/>
      <c r="K41" s="2"/>
      <c r="L41" s="2"/>
      <c r="M41" s="2"/>
    </row>
    <row r="42" spans="1:13">
      <c r="A42" s="2"/>
      <c r="B42" s="13">
        <v>22</v>
      </c>
      <c r="C42">
        <f>B42*1</f>
        <v>22</v>
      </c>
      <c r="F42" s="4"/>
      <c r="G42" s="2"/>
      <c r="H42" s="2"/>
      <c r="I42" s="2"/>
      <c r="J42" s="2"/>
      <c r="K42" s="2"/>
      <c r="L42" s="2"/>
      <c r="M42" s="2"/>
    </row>
    <row r="43" spans="1:13">
      <c r="A43" s="2"/>
      <c r="B43" s="13">
        <v>23</v>
      </c>
      <c r="C43">
        <f>B43*1</f>
        <v>23</v>
      </c>
      <c r="F43" s="4"/>
      <c r="G43" s="2"/>
      <c r="H43" s="2"/>
      <c r="I43" s="2"/>
      <c r="J43" s="2"/>
      <c r="K43" s="2"/>
      <c r="L43" s="2"/>
      <c r="M43" s="2"/>
    </row>
    <row r="44" spans="1:13">
      <c r="A44" s="2"/>
      <c r="B44" s="13">
        <v>24</v>
      </c>
      <c r="C44">
        <f>B44*1</f>
        <v>24</v>
      </c>
      <c r="F44" s="4"/>
      <c r="G44" s="2"/>
      <c r="H44" s="2"/>
      <c r="I44" s="2"/>
      <c r="J44" s="2"/>
      <c r="K44" s="2"/>
      <c r="L44" s="2"/>
      <c r="M44" s="2"/>
    </row>
    <row r="45" spans="1:13">
      <c r="A45" s="2"/>
      <c r="B45" s="13">
        <v>25</v>
      </c>
      <c r="C45">
        <f>B45*1</f>
        <v>25</v>
      </c>
      <c r="D45">
        <v>1.21702</v>
      </c>
      <c r="E45">
        <v>6.50542</v>
      </c>
      <c r="F45" s="4">
        <v>1.39866</v>
      </c>
      <c r="G45" s="2"/>
      <c r="H45" s="2"/>
      <c r="I45" s="2"/>
      <c r="J45" s="2"/>
      <c r="K45" s="2"/>
      <c r="L45" s="2"/>
      <c r="M45" s="2"/>
    </row>
    <row r="46" spans="1:13">
      <c r="A46" s="2"/>
      <c r="B46" s="13">
        <v>26</v>
      </c>
      <c r="C46">
        <f>B46*1</f>
        <v>26</v>
      </c>
      <c r="F46" s="4"/>
      <c r="G46" s="2"/>
      <c r="H46" s="2"/>
      <c r="I46" s="2"/>
      <c r="J46" s="2"/>
      <c r="K46" s="2"/>
      <c r="L46" s="2"/>
      <c r="M46" s="2"/>
    </row>
    <row r="47" spans="1:13">
      <c r="A47" s="2"/>
      <c r="B47" s="13">
        <v>27</v>
      </c>
      <c r="C47">
        <f>B47*1</f>
        <v>27</v>
      </c>
      <c r="F47" s="4"/>
      <c r="G47" s="2"/>
      <c r="H47" s="2"/>
      <c r="I47" s="2"/>
      <c r="J47" s="2"/>
      <c r="K47" s="2"/>
      <c r="L47" s="2"/>
      <c r="M47" s="2"/>
    </row>
    <row r="48" spans="1:13">
      <c r="A48" s="2"/>
      <c r="B48" s="13">
        <v>28</v>
      </c>
      <c r="C48">
        <f>B48*1</f>
        <v>28</v>
      </c>
      <c r="F48" s="4"/>
      <c r="G48" s="2"/>
      <c r="H48" s="2"/>
      <c r="I48" s="2"/>
      <c r="J48" s="2"/>
      <c r="K48" s="2"/>
      <c r="L48" s="2"/>
      <c r="M48" s="2"/>
    </row>
    <row r="49" spans="1:13">
      <c r="A49" s="2"/>
      <c r="B49" s="13">
        <v>29</v>
      </c>
      <c r="C49">
        <f>B49*1</f>
        <v>29</v>
      </c>
      <c r="F49" s="4"/>
      <c r="G49" s="2"/>
      <c r="H49" s="2"/>
      <c r="I49" s="2"/>
      <c r="J49" s="2"/>
      <c r="K49" s="2"/>
      <c r="L49" s="2"/>
      <c r="M49" s="2"/>
    </row>
    <row r="50" spans="1:13">
      <c r="A50" s="2"/>
      <c r="B50" s="13">
        <v>30</v>
      </c>
      <c r="C50">
        <f>B50*1</f>
        <v>30</v>
      </c>
      <c r="D50">
        <v>1.2943899999999999</v>
      </c>
      <c r="E50">
        <v>6.625</v>
      </c>
      <c r="F50" s="4">
        <v>1.4801299999999999</v>
      </c>
      <c r="G50" s="2"/>
      <c r="H50" s="2"/>
      <c r="I50" s="2"/>
      <c r="J50" s="2"/>
      <c r="K50" s="2"/>
      <c r="L50" s="2"/>
      <c r="M50" s="2"/>
    </row>
    <row r="51" spans="1:13">
      <c r="A51" s="2"/>
      <c r="B51" s="13">
        <v>31</v>
      </c>
      <c r="C51">
        <f>B51*1</f>
        <v>31</v>
      </c>
      <c r="F51" s="4"/>
      <c r="G51" s="2"/>
      <c r="H51" s="2"/>
      <c r="I51" s="2"/>
      <c r="J51" s="2"/>
      <c r="K51" s="2"/>
      <c r="L51" s="2"/>
      <c r="M51" s="2"/>
    </row>
    <row r="52" spans="1:13">
      <c r="A52" s="2"/>
      <c r="B52" s="13">
        <v>32</v>
      </c>
      <c r="C52">
        <f>B52*1</f>
        <v>32</v>
      </c>
      <c r="F52" s="4"/>
      <c r="G52" s="2"/>
      <c r="H52" s="2"/>
      <c r="I52" s="2"/>
      <c r="J52" s="2"/>
      <c r="K52" s="2"/>
      <c r="L52" s="2"/>
      <c r="M52" s="2"/>
    </row>
    <row r="53" spans="1:13">
      <c r="A53" s="2"/>
      <c r="B53" s="13">
        <v>33</v>
      </c>
      <c r="C53">
        <f>B53*1</f>
        <v>33</v>
      </c>
      <c r="F53" s="4"/>
      <c r="G53" s="2"/>
      <c r="H53" s="2"/>
      <c r="I53" s="2"/>
      <c r="J53" s="2"/>
      <c r="K53" s="2"/>
      <c r="L53" s="2"/>
      <c r="M53" s="2"/>
    </row>
    <row r="54" spans="1:13">
      <c r="A54" s="2"/>
      <c r="B54" s="13">
        <v>34</v>
      </c>
      <c r="C54">
        <f>B54*1</f>
        <v>34</v>
      </c>
      <c r="F54" s="4"/>
      <c r="G54" s="2"/>
      <c r="H54" s="2"/>
      <c r="I54" s="2"/>
      <c r="J54" s="2"/>
      <c r="K54" s="2"/>
      <c r="L54" s="2"/>
      <c r="M54" s="2"/>
    </row>
    <row r="55" spans="1:13">
      <c r="A55" s="2"/>
      <c r="B55" s="13">
        <v>35</v>
      </c>
      <c r="C55">
        <f>B55*1</f>
        <v>35</v>
      </c>
      <c r="D55">
        <v>1.3572500000000001</v>
      </c>
      <c r="E55">
        <v>6.6270300000000004</v>
      </c>
      <c r="F55" s="4">
        <v>1.5431299999999999</v>
      </c>
      <c r="G55" s="2"/>
      <c r="H55" s="2"/>
      <c r="I55" s="2"/>
      <c r="J55" s="2"/>
      <c r="K55" s="2"/>
      <c r="L55" s="2"/>
      <c r="M55" s="2"/>
    </row>
    <row r="56" spans="1:13">
      <c r="A56" s="2"/>
      <c r="B56" s="13">
        <v>36</v>
      </c>
      <c r="C56">
        <f>B56*1</f>
        <v>36</v>
      </c>
      <c r="F56" s="4"/>
      <c r="G56" s="2"/>
      <c r="H56" s="2"/>
      <c r="I56" s="2"/>
      <c r="J56" s="2"/>
      <c r="K56" s="2"/>
      <c r="L56" s="2"/>
      <c r="M56" s="2"/>
    </row>
    <row r="57" spans="1:13">
      <c r="A57" s="2"/>
      <c r="B57" s="13">
        <v>37</v>
      </c>
      <c r="C57">
        <f>B57*1</f>
        <v>37</v>
      </c>
      <c r="F57" s="4"/>
      <c r="G57" s="2"/>
      <c r="H57" s="2"/>
      <c r="I57" s="2"/>
      <c r="J57" s="2"/>
      <c r="K57" s="2"/>
      <c r="L57" s="2"/>
      <c r="M57" s="2"/>
    </row>
    <row r="58" spans="1:13">
      <c r="A58" s="2"/>
      <c r="B58" s="13">
        <v>38</v>
      </c>
      <c r="C58">
        <f>B58*1</f>
        <v>38</v>
      </c>
      <c r="F58" s="4"/>
      <c r="G58" s="2"/>
      <c r="H58" s="2"/>
      <c r="I58" s="2"/>
      <c r="J58" s="2"/>
      <c r="K58" s="2"/>
      <c r="L58" s="2"/>
      <c r="M58" s="2"/>
    </row>
    <row r="59" spans="1:13">
      <c r="A59" s="2"/>
      <c r="B59" s="13">
        <v>39</v>
      </c>
      <c r="C59">
        <f>B59*1</f>
        <v>39</v>
      </c>
      <c r="F59" s="4"/>
      <c r="G59" s="2"/>
      <c r="H59" s="2"/>
      <c r="I59" s="2"/>
      <c r="J59" s="2"/>
      <c r="K59" s="2"/>
      <c r="L59" s="2"/>
      <c r="M59" s="2"/>
    </row>
    <row r="60" spans="1:13">
      <c r="A60" s="2"/>
      <c r="B60" s="13">
        <v>40</v>
      </c>
      <c r="C60">
        <f>B60*1</f>
        <v>40</v>
      </c>
      <c r="D60">
        <v>1.40907</v>
      </c>
      <c r="E60">
        <v>6.6287200000000004</v>
      </c>
      <c r="F60" s="4">
        <v>1.5963799999999999</v>
      </c>
      <c r="G60" s="2"/>
      <c r="H60" s="2"/>
      <c r="I60" s="2"/>
      <c r="J60" s="2"/>
      <c r="K60" s="2"/>
      <c r="L60" s="2"/>
      <c r="M60" s="2"/>
    </row>
    <row r="61" spans="1:1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</sheetData>
  <phoneticPr fontId="2"/>
  <dataValidations disablePrompts="1" count="3">
    <dataValidation type="list" allowBlank="1" showInputMessage="1" showErrorMessage="1" sqref="D4">
      <formula1>"OIS,Libor"</formula1>
    </dataValidation>
    <dataValidation type="list" allowBlank="1" showInputMessage="1" showErrorMessage="1" sqref="E4:F4">
      <formula1>"OIS,Libor3M,Libor6M"</formula1>
    </dataValidation>
    <dataValidation type="list" allowBlank="1" showInputMessage="1" showErrorMessage="1" sqref="C4">
      <formula1>"ACT/365,ACT/360,30/360"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test1">
                <anchor moveWithCells="1">
                  <from>
                    <xdr:col>18</xdr:col>
                    <xdr:colOff>390525</xdr:colOff>
                    <xdr:row>3</xdr:row>
                    <xdr:rowOff>114300</xdr:rowOff>
                  </from>
                  <to>
                    <xdr:col>19</xdr:col>
                    <xdr:colOff>314325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Holiday</vt:lpstr>
      <vt:lpstr>MarketData-&gt;Df</vt:lpstr>
      <vt:lpstr>OisSwapRate</vt:lpstr>
      <vt:lpstr>test</vt:lpstr>
      <vt:lpstr>YearFrac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</dc:creator>
  <cp:lastModifiedBy>Maxwell</cp:lastModifiedBy>
  <dcterms:created xsi:type="dcterms:W3CDTF">2015-05-16T00:48:53Z</dcterms:created>
  <dcterms:modified xsi:type="dcterms:W3CDTF">2015-06-02T16:15:33Z</dcterms:modified>
</cp:coreProperties>
</file>