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xwell\Desktop\Git_home\VBA\"/>
    </mc:Choice>
  </mc:AlternateContent>
  <bookViews>
    <workbookView xWindow="360" yWindow="90" windowWidth="28035" windowHeight="12555" activeTab="3"/>
  </bookViews>
  <sheets>
    <sheet name="Black" sheetId="1" r:id="rId1"/>
    <sheet name="SABR" sheetId="2" r:id="rId2"/>
    <sheet name="RebonatoVols" sheetId="3" r:id="rId3"/>
    <sheet name="LMMSimulation" sheetId="4" r:id="rId4"/>
    <sheet name="Results" sheetId="5" r:id="rId5"/>
    <sheet name="LSM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J8" i="5" l="1"/>
  <c r="I43" i="6"/>
  <c r="H43" i="6"/>
  <c r="G43" i="6"/>
  <c r="I33" i="6" a="1"/>
  <c r="J33" i="6"/>
  <c r="I25" i="6"/>
  <c r="F23" i="6"/>
  <c r="G23" i="6"/>
  <c r="H23" i="6"/>
  <c r="I23" i="6"/>
  <c r="J23" i="6"/>
  <c r="F24" i="6"/>
  <c r="G24" i="6"/>
  <c r="H24" i="6"/>
  <c r="I24" i="6"/>
  <c r="J24" i="6"/>
  <c r="F25" i="6"/>
  <c r="G25" i="6"/>
  <c r="H25" i="6"/>
  <c r="J25" i="6"/>
  <c r="F26" i="6"/>
  <c r="G26" i="6"/>
  <c r="H26" i="6"/>
  <c r="I26" i="6"/>
  <c r="J26" i="6"/>
  <c r="F27" i="6"/>
  <c r="G27" i="6"/>
  <c r="H27" i="6"/>
  <c r="I27" i="6"/>
  <c r="J27" i="6"/>
  <c r="F28" i="6"/>
  <c r="G28" i="6"/>
  <c r="H28" i="6"/>
  <c r="I28" i="6"/>
  <c r="J28" i="6"/>
  <c r="E24" i="6"/>
  <c r="E25" i="6"/>
  <c r="E26" i="6"/>
  <c r="E27" i="6"/>
  <c r="E28" i="6"/>
  <c r="E23" i="6"/>
  <c r="G12" i="4"/>
  <c r="G15" i="4"/>
  <c r="G16" i="4"/>
  <c r="G19" i="4"/>
  <c r="G20" i="4"/>
  <c r="G23" i="4"/>
  <c r="G24" i="4"/>
  <c r="G27" i="4"/>
  <c r="G28" i="4"/>
  <c r="G31" i="4"/>
  <c r="G32" i="4"/>
  <c r="G35" i="4"/>
  <c r="G36" i="4"/>
  <c r="G39" i="4"/>
  <c r="G40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F12" i="4"/>
  <c r="F13" i="4"/>
  <c r="G13" i="4"/>
  <c r="F14" i="4"/>
  <c r="G14" i="4"/>
  <c r="F15" i="4"/>
  <c r="F16" i="4"/>
  <c r="F17" i="4"/>
  <c r="G17" i="4"/>
  <c r="F18" i="4"/>
  <c r="G18" i="4"/>
  <c r="F19" i="4"/>
  <c r="F20" i="4"/>
  <c r="F21" i="4"/>
  <c r="G21" i="4"/>
  <c r="F22" i="4"/>
  <c r="G22" i="4"/>
  <c r="F23" i="4"/>
  <c r="F24" i="4"/>
  <c r="F25" i="4"/>
  <c r="G25" i="4"/>
  <c r="F26" i="4"/>
  <c r="G26" i="4"/>
  <c r="F27" i="4"/>
  <c r="F28" i="4"/>
  <c r="F29" i="4"/>
  <c r="G29" i="4"/>
  <c r="F30" i="4"/>
  <c r="G30" i="4"/>
  <c r="F31" i="4"/>
  <c r="F32" i="4"/>
  <c r="F33" i="4"/>
  <c r="G33" i="4"/>
  <c r="F34" i="4"/>
  <c r="G34" i="4"/>
  <c r="F35" i="4"/>
  <c r="F36" i="4"/>
  <c r="F37" i="4"/>
  <c r="G37" i="4"/>
  <c r="F38" i="4"/>
  <c r="G38" i="4"/>
  <c r="F39" i="4"/>
  <c r="F40" i="4"/>
  <c r="F11" i="4"/>
  <c r="G11" i="4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13" i="3"/>
  <c r="I15" i="4"/>
  <c r="I14" i="4"/>
  <c r="I13" i="4"/>
  <c r="I12" i="4"/>
  <c r="I11" i="4"/>
  <c r="I33" i="6"/>
  <c r="M47" i="6"/>
  <c r="I44" i="6"/>
  <c r="H44" i="6"/>
  <c r="G44" i="6"/>
  <c r="M45" i="6"/>
  <c r="I45" i="6"/>
  <c r="H45" i="6"/>
  <c r="G45" i="6"/>
  <c r="M42" i="6"/>
  <c r="M46" i="6"/>
  <c r="M44" i="6"/>
  <c r="M41" i="6"/>
  <c r="M43" i="6"/>
  <c r="I46" i="6"/>
  <c r="H46" i="6"/>
  <c r="G46" i="6"/>
  <c r="U26" i="3"/>
  <c r="AM34" i="3"/>
  <c r="V24" i="3"/>
  <c r="Q33" i="3"/>
  <c r="W43" i="3"/>
  <c r="AH16" i="3"/>
  <c r="W41" i="3"/>
  <c r="AL35" i="3"/>
  <c r="V28" i="3"/>
  <c r="R24" i="3"/>
  <c r="T45" i="3"/>
  <c r="P18" i="3"/>
  <c r="Y21" i="3"/>
  <c r="AG28" i="3"/>
  <c r="R35" i="3"/>
  <c r="AD33" i="3"/>
  <c r="T46" i="3"/>
  <c r="AI23" i="3"/>
  <c r="AD14" i="3"/>
  <c r="AF16" i="3"/>
  <c r="AG20" i="3"/>
  <c r="P34" i="3"/>
  <c r="AD22" i="3"/>
  <c r="AL29" i="3"/>
  <c r="AL22" i="3"/>
  <c r="AL23" i="3"/>
  <c r="V38" i="3"/>
  <c r="Y18" i="3"/>
  <c r="F25" i="2"/>
  <c r="AL26" i="3"/>
  <c r="S18" i="3"/>
  <c r="V44" i="3"/>
  <c r="AM28" i="3"/>
  <c r="X14" i="3"/>
  <c r="AM17" i="3"/>
  <c r="V31" i="3"/>
  <c r="AI36" i="3"/>
  <c r="AG14" i="3"/>
  <c r="AE30" i="3"/>
  <c r="X36" i="3"/>
  <c r="Y14" i="3"/>
  <c r="W42" i="3"/>
  <c r="AL28" i="3"/>
  <c r="W35" i="3"/>
  <c r="F20" i="2"/>
  <c r="AF17" i="3"/>
  <c r="U17" i="3"/>
  <c r="AG23" i="3"/>
  <c r="AF32" i="3"/>
  <c r="R43" i="3"/>
  <c r="S35" i="3"/>
  <c r="AK33" i="3"/>
  <c r="S15" i="3"/>
  <c r="Q42" i="3"/>
  <c r="AL17" i="3"/>
  <c r="P28" i="3"/>
  <c r="AG32" i="3"/>
  <c r="AG33" i="3"/>
  <c r="AK27" i="3"/>
  <c r="AD28" i="3"/>
  <c r="R21" i="3"/>
  <c r="S39" i="3"/>
  <c r="Y30" i="3"/>
  <c r="AN29" i="3"/>
  <c r="S28" i="3"/>
  <c r="V32" i="3"/>
  <c r="AE25" i="3"/>
  <c r="S27" i="3"/>
  <c r="V36" i="3"/>
  <c r="Y25" i="3"/>
  <c r="T14" i="3"/>
  <c r="W40" i="3"/>
  <c r="Y26" i="3"/>
  <c r="AE20" i="3"/>
  <c r="AG19" i="3"/>
  <c r="AJ30" i="3"/>
  <c r="Y34" i="3"/>
  <c r="W13" i="3"/>
  <c r="R13" i="3"/>
  <c r="AL30" i="3"/>
  <c r="AK20" i="3"/>
  <c r="T47" i="3"/>
  <c r="AE32" i="3"/>
  <c r="AE27" i="3"/>
  <c r="J13" i="1"/>
  <c r="AN28" i="3"/>
  <c r="X18" i="3"/>
  <c r="AE15" i="3"/>
  <c r="P48" i="3"/>
  <c r="U40" i="3"/>
  <c r="T24" i="3"/>
  <c r="T43" i="3"/>
  <c r="AM24" i="3"/>
  <c r="AK35" i="3"/>
  <c r="X45" i="3"/>
  <c r="R22" i="3"/>
  <c r="AK18" i="3"/>
  <c r="Y33" i="3"/>
  <c r="AJ14" i="3"/>
  <c r="P21" i="3"/>
  <c r="P13" i="3"/>
  <c r="Q48" i="3"/>
  <c r="AM29" i="3"/>
  <c r="T42" i="3"/>
  <c r="AG17" i="3"/>
  <c r="F23" i="2"/>
  <c r="R47" i="3"/>
  <c r="Q19" i="3"/>
  <c r="U29" i="3"/>
  <c r="AF26" i="3"/>
  <c r="AI34" i="3"/>
  <c r="T31" i="3"/>
  <c r="V18" i="3"/>
  <c r="AK14" i="3"/>
  <c r="R30" i="3"/>
  <c r="P29" i="3"/>
  <c r="T40" i="3"/>
  <c r="P20" i="3"/>
  <c r="V42" i="3"/>
  <c r="AJ23" i="3"/>
  <c r="R31" i="3"/>
  <c r="AG29" i="3"/>
  <c r="W17" i="3"/>
  <c r="U16" i="3"/>
  <c r="Q13" i="3"/>
  <c r="AN31" i="3"/>
  <c r="W21" i="3"/>
  <c r="AL24" i="3"/>
  <c r="T33" i="3"/>
  <c r="AI26" i="3"/>
  <c r="S25" i="3"/>
  <c r="R15" i="3"/>
  <c r="X40" i="3"/>
  <c r="AN24" i="3"/>
  <c r="AE22" i="3"/>
  <c r="U44" i="3"/>
  <c r="V43" i="3"/>
  <c r="AJ26" i="3"/>
  <c r="S44" i="3"/>
  <c r="AL27" i="3"/>
  <c r="X20" i="3"/>
  <c r="X43" i="3"/>
  <c r="S30" i="3"/>
  <c r="V45" i="3"/>
  <c r="V17" i="3"/>
  <c r="AD18" i="3"/>
  <c r="AI35" i="3"/>
  <c r="J20" i="1"/>
  <c r="U35" i="3"/>
  <c r="R38" i="3"/>
  <c r="AN21" i="3"/>
  <c r="T15" i="3"/>
  <c r="AL32" i="3"/>
  <c r="X29" i="3"/>
  <c r="X34" i="3"/>
  <c r="Y47" i="3"/>
  <c r="X48" i="3"/>
  <c r="S17" i="3"/>
  <c r="AJ17" i="3"/>
  <c r="P32" i="3"/>
  <c r="Q37" i="3"/>
  <c r="J12" i="1"/>
  <c r="S21" i="3"/>
  <c r="T17" i="3"/>
  <c r="AF30" i="3"/>
  <c r="P37" i="3"/>
  <c r="T37" i="3"/>
  <c r="U47" i="3"/>
  <c r="T13" i="3"/>
  <c r="W16" i="3"/>
  <c r="AL19" i="3"/>
  <c r="AI16" i="3"/>
  <c r="AD30" i="3"/>
  <c r="Q36" i="3"/>
  <c r="W20" i="3"/>
  <c r="AG30" i="3"/>
  <c r="S16" i="3"/>
  <c r="T27" i="3"/>
  <c r="U48" i="3"/>
  <c r="S24" i="3"/>
  <c r="W19" i="3"/>
  <c r="S45" i="3"/>
  <c r="AF20" i="3"/>
  <c r="P35" i="3"/>
  <c r="Q24" i="3"/>
  <c r="V13" i="3"/>
  <c r="AK25" i="3"/>
  <c r="AG34" i="3"/>
  <c r="AJ19" i="3"/>
  <c r="AJ33" i="3"/>
  <c r="P19" i="3"/>
  <c r="AD36" i="3"/>
  <c r="R34" i="3"/>
  <c r="AF19" i="3"/>
  <c r="T30" i="3"/>
  <c r="AJ32" i="3"/>
  <c r="U43" i="3"/>
  <c r="AK30" i="3"/>
  <c r="AE18" i="3"/>
  <c r="Q31" i="3"/>
  <c r="AD35" i="3"/>
  <c r="X47" i="3"/>
  <c r="V39" i="3"/>
  <c r="AI17" i="3"/>
  <c r="U32" i="3"/>
  <c r="V30" i="3"/>
  <c r="U21" i="3"/>
  <c r="AL25" i="3"/>
  <c r="U27" i="3"/>
  <c r="V23" i="3"/>
  <c r="V14" i="3"/>
  <c r="AE31" i="3"/>
  <c r="R27" i="3"/>
  <c r="AN22" i="3"/>
  <c r="AE24" i="3"/>
  <c r="V25" i="3"/>
  <c r="V48" i="3"/>
  <c r="AL18" i="3"/>
  <c r="AM35" i="3"/>
  <c r="P40" i="3"/>
  <c r="W25" i="3"/>
  <c r="Y20" i="3"/>
  <c r="AN16" i="3"/>
  <c r="AH15" i="3"/>
  <c r="AE23" i="3"/>
  <c r="AH24" i="3"/>
  <c r="Q20" i="3"/>
  <c r="P30" i="3"/>
  <c r="U20" i="3"/>
  <c r="AM23" i="3"/>
  <c r="P36" i="3"/>
  <c r="T35" i="3"/>
  <c r="R28" i="3"/>
  <c r="AK29" i="3"/>
  <c r="AF24" i="3"/>
  <c r="Q16" i="3"/>
  <c r="AK22" i="3"/>
  <c r="T29" i="3"/>
  <c r="AG21" i="3"/>
  <c r="S33" i="3"/>
  <c r="AJ36" i="3"/>
  <c r="AM16" i="3"/>
  <c r="AM26" i="3"/>
  <c r="Q17" i="3"/>
  <c r="Q38" i="3"/>
  <c r="AH23" i="3"/>
  <c r="AF25" i="3"/>
  <c r="AE21" i="3"/>
  <c r="X19" i="3"/>
  <c r="AD32" i="3"/>
  <c r="V29" i="3"/>
  <c r="AE33" i="3"/>
  <c r="Q22" i="3"/>
  <c r="AM20" i="3"/>
  <c r="P25" i="3"/>
  <c r="S19" i="3"/>
  <c r="AH32" i="3"/>
  <c r="W15" i="3"/>
  <c r="P27" i="3"/>
  <c r="AG22" i="3"/>
  <c r="AF22" i="3"/>
  <c r="AD15" i="3"/>
  <c r="T19" i="3"/>
  <c r="P24" i="3"/>
  <c r="AH35" i="3"/>
  <c r="S43" i="3"/>
  <c r="W37" i="3"/>
  <c r="AG15" i="3"/>
  <c r="V27" i="3"/>
  <c r="Y28" i="3"/>
  <c r="AF15" i="3"/>
  <c r="AH33" i="3"/>
  <c r="AJ31" i="3"/>
  <c r="X38" i="3"/>
  <c r="AE19" i="3"/>
  <c r="J19" i="1"/>
  <c r="AM19" i="3"/>
  <c r="P22" i="3"/>
  <c r="AN35" i="3"/>
  <c r="X33" i="3"/>
  <c r="Q47" i="3"/>
  <c r="AL20" i="3"/>
  <c r="Q27" i="3"/>
  <c r="W48" i="3"/>
  <c r="Q15" i="3"/>
  <c r="Q46" i="3"/>
  <c r="AH27" i="3"/>
  <c r="AK31" i="3"/>
  <c r="F24" i="2"/>
  <c r="AH17" i="3"/>
  <c r="AH29" i="3"/>
  <c r="X46" i="3"/>
  <c r="AI24" i="3"/>
  <c r="AN26" i="3"/>
  <c r="J17" i="1"/>
  <c r="AE14" i="3"/>
  <c r="W18" i="3"/>
  <c r="S41" i="3"/>
  <c r="X26" i="3"/>
  <c r="U39" i="3"/>
  <c r="AI22" i="3"/>
  <c r="X23" i="3"/>
  <c r="X39" i="3"/>
  <c r="AD19" i="3"/>
  <c r="V40" i="3"/>
  <c r="AN36" i="3"/>
  <c r="AG35" i="3"/>
  <c r="X24" i="3"/>
  <c r="AI33" i="3"/>
  <c r="X25" i="3"/>
  <c r="AL15" i="3"/>
  <c r="W44" i="3"/>
  <c r="AD20" i="3"/>
  <c r="AM14" i="3"/>
  <c r="R37" i="3"/>
  <c r="AD24" i="3"/>
  <c r="AL36" i="3"/>
  <c r="R39" i="3"/>
  <c r="P38" i="3"/>
  <c r="Q29" i="3"/>
  <c r="Q43" i="3"/>
  <c r="V37" i="3"/>
  <c r="U37" i="3"/>
  <c r="W34" i="3"/>
  <c r="T25" i="3"/>
  <c r="P15" i="3"/>
  <c r="AF23" i="3"/>
  <c r="AJ27" i="3"/>
  <c r="J16" i="1"/>
  <c r="Y13" i="3"/>
  <c r="AF29" i="3"/>
  <c r="AJ16" i="3"/>
  <c r="Y39" i="3"/>
  <c r="U25" i="3"/>
  <c r="AI29" i="3"/>
  <c r="AM33" i="3"/>
  <c r="Q34" i="3"/>
  <c r="AD21" i="3"/>
  <c r="AE29" i="3"/>
  <c r="S34" i="3"/>
  <c r="AH21" i="3"/>
  <c r="Y35" i="3"/>
  <c r="Y38" i="3"/>
  <c r="AH19" i="3"/>
  <c r="AM36" i="3"/>
  <c r="AL33" i="3"/>
  <c r="R23" i="3"/>
  <c r="X30" i="3"/>
  <c r="AL31" i="3"/>
  <c r="U41" i="3"/>
  <c r="U28" i="3"/>
  <c r="S46" i="3"/>
  <c r="W45" i="3"/>
  <c r="R17" i="3"/>
  <c r="S23" i="3"/>
  <c r="AD23" i="3"/>
  <c r="AJ29" i="3"/>
  <c r="V34" i="3"/>
  <c r="AK23" i="3"/>
  <c r="R25" i="3"/>
  <c r="AL34" i="3"/>
  <c r="W36" i="3"/>
  <c r="Y40" i="3"/>
  <c r="AI18" i="3"/>
  <c r="T16" i="3"/>
  <c r="AN25" i="3"/>
  <c r="J14" i="1"/>
  <c r="T18" i="3"/>
  <c r="Q44" i="3"/>
  <c r="S48" i="3"/>
  <c r="R32" i="3"/>
  <c r="AH36" i="3"/>
  <c r="T28" i="3"/>
  <c r="AG26" i="3"/>
  <c r="AK19" i="3"/>
  <c r="AF28" i="3"/>
  <c r="T22" i="3"/>
  <c r="S20" i="3"/>
  <c r="AN34" i="3"/>
  <c r="R18" i="3"/>
  <c r="P33" i="3"/>
  <c r="U23" i="3"/>
  <c r="X21" i="3"/>
  <c r="Y15" i="3"/>
  <c r="AE28" i="3"/>
  <c r="F21" i="2"/>
  <c r="X32" i="3"/>
  <c r="U45" i="3"/>
  <c r="W47" i="3"/>
  <c r="S36" i="3"/>
  <c r="AH18" i="3"/>
  <c r="P45" i="3"/>
  <c r="U36" i="3"/>
  <c r="R16" i="3"/>
  <c r="AG18" i="3"/>
  <c r="V47" i="3"/>
  <c r="R45" i="3"/>
  <c r="X16" i="3"/>
  <c r="T38" i="3"/>
  <c r="AF36" i="3"/>
  <c r="AJ34" i="3"/>
  <c r="T26" i="3"/>
  <c r="AM21" i="3"/>
  <c r="Q14" i="3"/>
  <c r="AD29" i="3"/>
  <c r="S14" i="3"/>
  <c r="R26" i="3"/>
  <c r="Y48" i="3"/>
  <c r="U34" i="3"/>
  <c r="P16" i="3"/>
  <c r="Y27" i="3"/>
  <c r="S37" i="3"/>
  <c r="S26" i="3"/>
  <c r="AN15" i="3"/>
  <c r="V19" i="3"/>
  <c r="Y41" i="3"/>
  <c r="AJ28" i="3"/>
  <c r="AM30" i="3"/>
  <c r="AL16" i="3"/>
  <c r="AI14" i="3"/>
  <c r="S22" i="3"/>
  <c r="X13" i="3"/>
  <c r="AI27" i="3"/>
  <c r="R44" i="3"/>
  <c r="AI32" i="3"/>
  <c r="X15" i="3"/>
  <c r="AH34" i="3"/>
  <c r="P44" i="3"/>
  <c r="AK28" i="3"/>
  <c r="AI20" i="3"/>
  <c r="Q18" i="3"/>
  <c r="R14" i="3"/>
  <c r="AK17" i="3"/>
  <c r="T44" i="3"/>
  <c r="AK15" i="3"/>
  <c r="AH31" i="3"/>
  <c r="AM15" i="3"/>
  <c r="Y24" i="3"/>
  <c r="AN14" i="3"/>
  <c r="AI15" i="3"/>
  <c r="U15" i="3"/>
  <c r="AD16" i="3"/>
  <c r="Y43" i="3"/>
  <c r="F19" i="2"/>
  <c r="AK21" i="3"/>
  <c r="R40" i="3"/>
  <c r="S32" i="3"/>
  <c r="Y29" i="3"/>
  <c r="AJ20" i="3"/>
  <c r="J18" i="1"/>
  <c r="AJ24" i="3"/>
  <c r="AG36" i="3"/>
  <c r="AG25" i="3"/>
  <c r="R20" i="3"/>
  <c r="T34" i="3"/>
  <c r="R42" i="3"/>
  <c r="T39" i="3"/>
  <c r="AD25" i="3"/>
  <c r="U46" i="3"/>
  <c r="AF34" i="3"/>
  <c r="W14" i="3"/>
  <c r="X31" i="3"/>
  <c r="AF21" i="3"/>
  <c r="AN18" i="3"/>
  <c r="P14" i="3"/>
  <c r="V15" i="3"/>
  <c r="Y37" i="3"/>
  <c r="Q35" i="3"/>
  <c r="X42" i="3"/>
  <c r="AJ22" i="3"/>
  <c r="W28" i="3"/>
  <c r="AF31" i="3"/>
  <c r="Y46" i="3"/>
  <c r="AN32" i="3"/>
  <c r="P39" i="3"/>
  <c r="P23" i="3"/>
  <c r="X41" i="3"/>
  <c r="R33" i="3"/>
  <c r="AN33" i="3"/>
  <c r="AH28" i="3"/>
  <c r="J21" i="1"/>
  <c r="X28" i="3"/>
  <c r="AG31" i="3"/>
  <c r="T23" i="3"/>
  <c r="AN17" i="3"/>
  <c r="AK24" i="3"/>
  <c r="Q25" i="3"/>
  <c r="U14" i="3"/>
  <c r="Q21" i="3"/>
  <c r="AM32" i="3"/>
  <c r="T36" i="3"/>
  <c r="AG27" i="3"/>
  <c r="AJ25" i="3"/>
  <c r="Y32" i="3"/>
  <c r="AN30" i="3"/>
  <c r="AN27" i="3"/>
  <c r="P42" i="3"/>
  <c r="S40" i="3"/>
  <c r="AH20" i="3"/>
  <c r="AI25" i="3"/>
  <c r="S29" i="3"/>
  <c r="AE36" i="3"/>
  <c r="AF18" i="3"/>
  <c r="AG16" i="3"/>
  <c r="Q32" i="3"/>
  <c r="AH25" i="3"/>
  <c r="AJ15" i="3"/>
  <c r="AE17" i="3"/>
  <c r="AK16" i="3"/>
  <c r="V46" i="3"/>
  <c r="U33" i="3"/>
  <c r="X44" i="3"/>
  <c r="S31" i="3"/>
  <c r="X37" i="3"/>
  <c r="AG24" i="3"/>
  <c r="AI21" i="3"/>
  <c r="Q26" i="3"/>
  <c r="AM25" i="3"/>
  <c r="U13" i="3"/>
  <c r="AN23" i="3"/>
  <c r="U38" i="3"/>
  <c r="W23" i="3"/>
  <c r="AI28" i="3"/>
  <c r="AK36" i="3"/>
  <c r="AN19" i="3"/>
  <c r="AK34" i="3"/>
  <c r="S13" i="3"/>
  <c r="P41" i="3"/>
  <c r="R19" i="3"/>
  <c r="T21" i="3"/>
  <c r="AE35" i="3"/>
  <c r="W22" i="3"/>
  <c r="X35" i="3"/>
  <c r="AN20" i="3"/>
  <c r="Q41" i="3"/>
  <c r="AF33" i="3"/>
  <c r="AF27" i="3"/>
  <c r="AI31" i="3"/>
  <c r="R48" i="3"/>
  <c r="Y31" i="3"/>
  <c r="AD27" i="3"/>
  <c r="Y44" i="3"/>
  <c r="X27" i="3"/>
  <c r="T20" i="3"/>
  <c r="U24" i="3"/>
  <c r="T41" i="3"/>
  <c r="P46" i="3"/>
  <c r="W46" i="3"/>
  <c r="R29" i="3"/>
  <c r="P26" i="3"/>
  <c r="S47" i="3"/>
  <c r="T48" i="3"/>
  <c r="AE34" i="3"/>
  <c r="AM22" i="3"/>
  <c r="Y45" i="3"/>
  <c r="F22" i="2"/>
  <c r="AJ21" i="3"/>
  <c r="Q39" i="3"/>
  <c r="R41" i="3"/>
  <c r="Y16" i="3"/>
  <c r="Y23" i="3"/>
  <c r="W39" i="3"/>
  <c r="AL21" i="3"/>
  <c r="Y19" i="3"/>
  <c r="P47" i="3"/>
  <c r="Y36" i="3"/>
  <c r="X22" i="3"/>
  <c r="AM18" i="3"/>
  <c r="AK32" i="3"/>
  <c r="AI19" i="3"/>
  <c r="R46" i="3"/>
  <c r="AM31" i="3"/>
  <c r="AH26" i="3"/>
  <c r="P17" i="3"/>
  <c r="V41" i="3"/>
  <c r="U31" i="3"/>
  <c r="X17" i="3"/>
  <c r="AJ35" i="3"/>
  <c r="W26" i="3"/>
  <c r="AH14" i="3"/>
  <c r="Y17" i="3"/>
  <c r="Q30" i="3"/>
  <c r="P43" i="3"/>
  <c r="U22" i="3"/>
  <c r="W30" i="3"/>
  <c r="Q45" i="3"/>
  <c r="AD26" i="3"/>
  <c r="AE26" i="3"/>
  <c r="AF35" i="3"/>
  <c r="W27" i="3"/>
  <c r="Y42" i="3"/>
  <c r="AD17" i="3"/>
  <c r="AK26" i="3"/>
  <c r="AF14" i="3"/>
  <c r="W31" i="3"/>
  <c r="S42" i="3"/>
  <c r="AH22" i="3"/>
  <c r="V21" i="3"/>
  <c r="U42" i="3"/>
  <c r="J15" i="1"/>
  <c r="V33" i="3"/>
  <c r="Y22" i="3"/>
  <c r="V22" i="3"/>
  <c r="AD31" i="3"/>
  <c r="Q23" i="3"/>
  <c r="AJ18" i="3"/>
  <c r="AE16" i="3"/>
  <c r="Q40" i="3"/>
  <c r="U18" i="3"/>
  <c r="V16" i="3"/>
  <c r="AH30" i="3"/>
  <c r="W29" i="3"/>
  <c r="V35" i="3"/>
  <c r="W32" i="3"/>
  <c r="V26" i="3"/>
  <c r="AI30" i="3"/>
  <c r="AD34" i="3"/>
  <c r="AM27" i="3"/>
  <c r="S38" i="3"/>
  <c r="R36" i="3"/>
  <c r="P31" i="3"/>
  <c r="V20" i="3"/>
  <c r="AL14" i="3"/>
  <c r="Q28" i="3"/>
  <c r="W33" i="3"/>
  <c r="T32" i="3"/>
  <c r="W38" i="3"/>
  <c r="W24" i="3"/>
  <c r="U19" i="3"/>
  <c r="U30" i="3"/>
</calcChain>
</file>

<file path=xl/sharedStrings.xml><?xml version="1.0" encoding="utf-8"?>
<sst xmlns="http://schemas.openxmlformats.org/spreadsheetml/2006/main" count="135" uniqueCount="94">
  <si>
    <t>fwd</t>
  </si>
  <si>
    <t>Payers Swaption</t>
  </si>
  <si>
    <t>strike</t>
  </si>
  <si>
    <t>expiry</t>
  </si>
  <si>
    <t>vol</t>
  </si>
  <si>
    <t>alpha</t>
  </si>
  <si>
    <t>beta</t>
  </si>
  <si>
    <t>rho</t>
  </si>
  <si>
    <t>volvol</t>
  </si>
  <si>
    <t>t</t>
  </si>
  <si>
    <t>Vol</t>
    <phoneticPr fontId="1"/>
  </si>
  <si>
    <t>a</t>
  </si>
  <si>
    <t>b</t>
  </si>
  <si>
    <t>c</t>
  </si>
  <si>
    <t>d</t>
  </si>
  <si>
    <t>Swaption Vols</t>
  </si>
  <si>
    <t>TenorStart</t>
  </si>
  <si>
    <t>Length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</si>
  <si>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</si>
  <si>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</si>
  <si>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</si>
  <si>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</si>
  <si>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</si>
  <si>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</si>
  <si>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</si>
  <si>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</si>
  <si>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</si>
  <si>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</si>
  <si>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</si>
  <si>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Time</t>
  </si>
  <si>
    <t>Rate</t>
  </si>
  <si>
    <t>0Y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</si>
  <si>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</si>
  <si>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</si>
  <si>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</si>
  <si>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</si>
  <si>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</si>
  <si>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</si>
  <si>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</si>
  <si>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</si>
  <si>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</si>
  <si>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</si>
  <si>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</si>
  <si>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</si>
  <si>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</si>
  <si>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</si>
  <si>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</si>
  <si>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</si>
  <si>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</si>
  <si>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</si>
  <si>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</si>
  <si>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</si>
  <si>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</si>
  <si>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</si>
  <si>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</si>
  <si>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</si>
  <si>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Inhomogeneous Vol</t>
    <phoneticPr fontId="1"/>
  </si>
  <si>
    <t>Number of Inhomogeneous Vol</t>
    <phoneticPr fontId="1"/>
  </si>
  <si>
    <t>Libor Rates</t>
    <phoneticPr fontId="1"/>
  </si>
  <si>
    <t>Libor homogeneous Vol</t>
    <phoneticPr fontId="1"/>
  </si>
  <si>
    <t>Oprion Expire</t>
    <phoneticPr fontId="1"/>
  </si>
  <si>
    <t>nbTenors</t>
  </si>
  <si>
    <t>nbPaths</t>
  </si>
  <si>
    <t>Tenor Length</t>
  </si>
  <si>
    <t>nbTimeGrids</t>
  </si>
  <si>
    <t>Tenor Start</t>
  </si>
  <si>
    <t>Tenor End</t>
  </si>
  <si>
    <t>dcfs</t>
  </si>
  <si>
    <t>IniLibors</t>
  </si>
  <si>
    <t>Coterminal Swap Rate</t>
  </si>
  <si>
    <t>Path</t>
  </si>
  <si>
    <t>Strike</t>
  </si>
  <si>
    <t>Exercise</t>
  </si>
  <si>
    <t>Regression at time 4</t>
  </si>
  <si>
    <t>y=ax+b</t>
  </si>
  <si>
    <t>Exercise Value</t>
  </si>
  <si>
    <t>Continuation Value</t>
  </si>
  <si>
    <t>ContValue at 4</t>
  </si>
  <si>
    <t xml:space="preserve"> </t>
  </si>
  <si>
    <t>Estimate of ContValue at time grid 4</t>
    <phoneticPr fontId="1"/>
  </si>
  <si>
    <t>Time Grid</t>
    <phoneticPr fontId="1"/>
  </si>
  <si>
    <t>Exercise Value</t>
    <phoneticPr fontId="1"/>
  </si>
  <si>
    <t>iniDeflators</t>
  </si>
  <si>
    <t>VBA var</t>
  </si>
  <si>
    <t>tenors</t>
  </si>
  <si>
    <t>timeGrids</t>
  </si>
  <si>
    <t>var</t>
  </si>
  <si>
    <t>ave</t>
  </si>
  <si>
    <t>Libor</t>
  </si>
  <si>
    <t>iniDeflators (Terminal Measure)
with maturity is Tenor Start</t>
  </si>
  <si>
    <t>libor
Vols</t>
  </si>
  <si>
    <t>MC each path results</t>
  </si>
  <si>
    <t>timeGrid
ToShow</t>
  </si>
  <si>
    <t>paths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</si>
</sst>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6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9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9" fontId="2" fillId="2" borderId="1" xfId="1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176" fontId="2" fillId="0" borderId="0" xfId="1" applyNumberFormat="1" applyFont="1">
      <alignment vertical="center"/>
    </xf>
    <xf numFmtId="0" fontId="3" fillId="5" borderId="0" xfId="0" applyFont="1" applyFill="1">
      <alignment vertical="center"/>
    </xf>
    <xf numFmtId="0" fontId="0" fillId="6" borderId="1" xfId="0" applyFill="1" applyBorder="1">
      <alignment vertical="center"/>
    </xf>
    <xf numFmtId="0" fontId="0" fillId="5" borderId="1" xfId="0" applyFill="1" applyBorder="1">
      <alignment vertical="center"/>
    </xf>
    <xf numFmtId="176" fontId="2" fillId="3" borderId="1" xfId="1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8" borderId="0" xfId="0" applyFill="1">
      <alignment vertical="center"/>
    </xf>
    <xf numFmtId="0" fontId="0" fillId="3" borderId="0" xfId="0" applyFont="1" applyFill="1" applyBorder="1" applyAlignment="1">
      <alignment horizontal="centerContinuous" vertical="center"/>
    </xf>
    <xf numFmtId="0" fontId="0" fillId="0" borderId="0" xfId="0" applyFont="1" applyFill="1" applyBorder="1" applyAlignment="1">
      <alignment horizontal="centerContinuous"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9" borderId="1" xfId="0" applyFill="1" applyBorder="1">
      <alignment vertical="center"/>
    </xf>
    <xf numFmtId="0" fontId="0" fillId="5" borderId="0" xfId="0" applyFill="1">
      <alignment vertical="center"/>
    </xf>
    <xf numFmtId="0" fontId="0" fillId="12" borderId="4" xfId="0" applyFill="1" applyBorder="1">
      <alignment vertical="center"/>
    </xf>
    <xf numFmtId="0" fontId="0" fillId="10" borderId="3" xfId="0" applyFill="1" applyBorder="1" applyAlignment="1">
      <alignment vertical="center" wrapText="1"/>
    </xf>
    <xf numFmtId="0" fontId="5" fillId="0" borderId="0" xfId="0" applyFont="1">
      <alignment vertical="center"/>
    </xf>
    <xf numFmtId="0" fontId="5" fillId="11" borderId="3" xfId="0" applyFont="1" applyFill="1" applyBorder="1">
      <alignment vertical="center"/>
    </xf>
    <xf numFmtId="0" fontId="5" fillId="12" borderId="4" xfId="0" applyFont="1" applyFill="1" applyBorder="1">
      <alignment vertical="center"/>
    </xf>
    <xf numFmtId="0" fontId="5" fillId="10" borderId="3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5" fillId="10" borderId="1" xfId="0" applyFont="1" applyFill="1" applyBorder="1" applyAlignment="1">
      <alignment vertical="center" wrapText="1"/>
    </xf>
    <xf numFmtId="0" fontId="5" fillId="10" borderId="2" xfId="0" applyFont="1" applyFill="1" applyBorder="1" applyAlignment="1">
      <alignment vertical="center" wrapText="1"/>
    </xf>
    <xf numFmtId="0" fontId="5" fillId="10" borderId="2" xfId="0" applyFont="1" applyFill="1" applyBorder="1">
      <alignment vertical="center"/>
    </xf>
    <xf numFmtId="0" fontId="5" fillId="0" borderId="1" xfId="0" applyFont="1" applyFill="1" applyBorder="1">
      <alignment vertical="center"/>
    </xf>
    <xf numFmtId="176" fontId="5" fillId="0" borderId="1" xfId="1" applyNumberFormat="1" applyFont="1" applyFill="1" applyBorder="1">
      <alignment vertical="center"/>
    </xf>
    <xf numFmtId="0" fontId="5" fillId="0" borderId="1" xfId="1" applyNumberFormat="1" applyFont="1" applyFill="1" applyBorder="1">
      <alignment vertical="center"/>
    </xf>
    <xf numFmtId="176" fontId="5" fillId="0" borderId="0" xfId="1" applyNumberFormat="1" applyFont="1">
      <alignment vertical="center"/>
    </xf>
    <xf numFmtId="9" fontId="5" fillId="0" borderId="5" xfId="1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5" fillId="0" borderId="7" xfId="0" applyFont="1" applyFill="1" applyBorder="1">
      <alignment vertical="center"/>
    </xf>
    <xf numFmtId="0" fontId="5" fillId="0" borderId="13" xfId="0" applyFont="1" applyFill="1" applyBorder="1">
      <alignment vertical="center"/>
    </xf>
    <xf numFmtId="9" fontId="5" fillId="0" borderId="8" xfId="1" applyFont="1" applyFill="1" applyBorder="1">
      <alignment vertical="center"/>
    </xf>
    <xf numFmtId="9" fontId="5" fillId="0" borderId="1" xfId="1" applyFont="1" applyFill="1" applyBorder="1">
      <alignment vertical="center"/>
    </xf>
    <xf numFmtId="0" fontId="5" fillId="0" borderId="9" xfId="0" applyFont="1" applyFill="1" applyBorder="1">
      <alignment vertical="center"/>
    </xf>
    <xf numFmtId="0" fontId="5" fillId="0" borderId="14" xfId="0" applyFont="1" applyBorder="1">
      <alignment vertical="center"/>
    </xf>
    <xf numFmtId="9" fontId="5" fillId="0" borderId="9" xfId="1" applyFont="1" applyFill="1" applyBorder="1">
      <alignment vertical="center"/>
    </xf>
    <xf numFmtId="9" fontId="5" fillId="0" borderId="0" xfId="1" applyFont="1">
      <alignment vertical="center"/>
    </xf>
    <xf numFmtId="9" fontId="5" fillId="0" borderId="10" xfId="1" applyFont="1" applyFill="1" applyBorder="1">
      <alignment vertical="center"/>
    </xf>
    <xf numFmtId="9" fontId="5" fillId="0" borderId="11" xfId="1" applyFont="1" applyFill="1" applyBorder="1">
      <alignment vertical="center"/>
    </xf>
    <xf numFmtId="9" fontId="5" fillId="0" borderId="12" xfId="1" applyFont="1" applyFill="1" applyBorder="1">
      <alignment vertical="center"/>
    </xf>
    <xf numFmtId="0" fontId="5" fillId="0" borderId="15" xfId="0" applyFont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463970692188072"/>
          <c:y val="0.17532316272965873"/>
          <c:w val="0.81214307227990001"/>
          <c:h val="0.73205183727034162"/>
        </c:manualLayout>
      </c:layout>
      <c:scatterChart>
        <c:scatterStyle val="lineMarker"/>
        <c:varyColors val="0"/>
        <c:ser>
          <c:idx val="0"/>
          <c:order val="0"/>
          <c:tx>
            <c:v>SABRVol Surface</c:v>
          </c:tx>
          <c:xVal>
            <c:numRef>
              <c:f>SABR!$D$19:$D$25</c:f>
              <c:numCache>
                <c:formatCode>General</c:formatCode>
                <c:ptCount val="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</c:numCache>
            </c:numRef>
          </c:xVal>
          <c:yVal>
            <c:numRef>
              <c:f>SABR!$F$19:$F$25</c:f>
              <c:numCache>
                <c:formatCode>General</c:formatCode>
                <c:ptCount val="7"/>
                <c:pt idx="0">
                  <c:v>0.17664200062691998</c:v>
                </c:pt>
                <c:pt idx="1">
                  <c:v>0.13888308495774368</c:v>
                </c:pt>
                <c:pt idx="2">
                  <c:v>0.11903886345608319</c:v>
                </c:pt>
                <c:pt idx="3">
                  <c:v>0.11018192441912675</c:v>
                </c:pt>
                <c:pt idx="4">
                  <c:v>0.1092338521815648</c:v>
                </c:pt>
                <c:pt idx="5">
                  <c:v>0.11263948686738948</c:v>
                </c:pt>
                <c:pt idx="6">
                  <c:v>0.11765274496405848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90800"/>
        <c:axId val="126121240"/>
      </c:scatterChart>
      <c:valAx>
        <c:axId val="12629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26121240"/>
        <c:crosses val="autoZero"/>
        <c:crossBetween val="midCat"/>
      </c:valAx>
      <c:valAx>
        <c:axId val="126121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29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4368352409557053"/>
          <c:y val="0.68935841353164184"/>
          <c:w val="0.30331098303433723"/>
          <c:h val="7.534558180227468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22</xdr:row>
      <xdr:rowOff>9525</xdr:rowOff>
    </xdr:from>
    <xdr:to>
      <xdr:col>13</xdr:col>
      <xdr:colOff>171450</xdr:colOff>
      <xdr:row>38</xdr:row>
      <xdr:rowOff>9525</xdr:rowOff>
    </xdr:to>
    <xdr:graphicFrame macro="">
      <xdr:nvGraphicFramePr>
        <xdr:cNvPr id="6145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</xdr:row>
          <xdr:rowOff>9525</xdr:rowOff>
        </xdr:from>
        <xdr:to>
          <xdr:col>2</xdr:col>
          <xdr:colOff>19050</xdr:colOff>
          <xdr:row>4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Simulate LMM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8:J21"/>
  <sheetViews>
    <sheetView workbookViewId="0">
      <selection activeCell="J14" sqref="J14"/>
    </sheetView>
  </sheetViews>
  <sheetFormatPr defaultRowHeight="13.5" x14ac:dyDescent="0.15"/>
  <cols>
    <col min="10" max="10" width="12.75" bestFit="1" customWidth="1"/>
  </cols>
  <sheetData>
    <row r="8" spans="4:10" x14ac:dyDescent="0.15">
      <c r="D8" s="3"/>
      <c r="E8" s="3"/>
      <c r="F8" s="3"/>
      <c r="G8" s="3"/>
      <c r="H8" s="3"/>
      <c r="I8" s="3"/>
      <c r="J8" s="3"/>
    </row>
    <row r="11" spans="4:10" x14ac:dyDescent="0.15">
      <c r="D11" s="3"/>
      <c r="E11" s="3"/>
      <c r="F11" s="3"/>
      <c r="G11" s="3"/>
      <c r="H11" s="13" t="s">
        <v>0</v>
      </c>
      <c r="I11" s="3"/>
      <c r="J11" s="13" t="s">
        <v>1</v>
      </c>
    </row>
    <row r="12" spans="4:10" x14ac:dyDescent="0.15">
      <c r="D12" s="13" t="s">
        <v>2</v>
      </c>
      <c r="E12" s="2">
        <v>0.05</v>
      </c>
      <c r="F12" s="3"/>
      <c r="G12" s="3"/>
      <c r="H12" s="2">
        <v>0.01</v>
      </c>
      <c r="I12" s="3"/>
      <c r="J12" s="4">
        <f>blackPricer(H12,$E$14,$E$12,$E$13,1)</f>
        <v>3.9052784626635472E-5</v>
      </c>
    </row>
    <row r="13" spans="4:10" x14ac:dyDescent="0.15">
      <c r="D13" s="13" t="s">
        <v>3</v>
      </c>
      <c r="E13" s="2">
        <v>5</v>
      </c>
      <c r="F13" s="3"/>
      <c r="G13" s="3"/>
      <c r="H13" s="2">
        <v>0.02</v>
      </c>
      <c r="I13" s="3"/>
      <c r="J13" s="4">
        <f t="shared" ref="J13:J21" si="0">blackPricer(H13,$E$14,$E$12,$E$13,1)</f>
        <v>8.0568250803892728E-4</v>
      </c>
    </row>
    <row r="14" spans="4:10" x14ac:dyDescent="0.15">
      <c r="D14" s="13" t="s">
        <v>4</v>
      </c>
      <c r="E14" s="2">
        <v>0.3</v>
      </c>
      <c r="F14" s="3"/>
      <c r="G14" s="3"/>
      <c r="H14" s="2">
        <v>0.03</v>
      </c>
      <c r="I14" s="3"/>
      <c r="J14" s="4">
        <f t="shared" si="0"/>
        <v>3.2336198759560625E-3</v>
      </c>
    </row>
    <row r="15" spans="4:10" x14ac:dyDescent="0.15">
      <c r="D15" s="3"/>
      <c r="E15" s="3"/>
      <c r="F15" s="3"/>
      <c r="G15" s="3"/>
      <c r="H15" s="2">
        <v>0.04</v>
      </c>
      <c r="I15" s="3"/>
      <c r="J15" s="4">
        <f t="shared" si="0"/>
        <v>7.4416671076627016E-3</v>
      </c>
    </row>
    <row r="16" spans="4:10" x14ac:dyDescent="0.15">
      <c r="D16" s="3"/>
      <c r="E16" s="3"/>
      <c r="F16" s="3"/>
      <c r="G16" s="3"/>
      <c r="H16" s="2">
        <v>0.05</v>
      </c>
      <c r="I16" s="3"/>
      <c r="J16" s="4">
        <f>blackPricer(H16,$E$14,$E$12,$E$13,1)</f>
        <v>1.3134216139179089E-2</v>
      </c>
    </row>
    <row r="17" spans="8:10" x14ac:dyDescent="0.15">
      <c r="H17" s="2">
        <v>0.06</v>
      </c>
      <c r="I17" s="3"/>
      <c r="J17" s="4">
        <f t="shared" si="0"/>
        <v>1.99566419031902E-2</v>
      </c>
    </row>
    <row r="18" spans="8:10" x14ac:dyDescent="0.15">
      <c r="H18" s="2">
        <v>7.0000000000000007E-2</v>
      </c>
      <c r="I18" s="3"/>
      <c r="J18" s="4">
        <f t="shared" si="0"/>
        <v>2.760965031268019E-2</v>
      </c>
    </row>
    <row r="19" spans="8:10" x14ac:dyDescent="0.15">
      <c r="H19" s="2">
        <v>0.08</v>
      </c>
      <c r="I19" s="3"/>
      <c r="J19" s="4">
        <f t="shared" si="0"/>
        <v>3.5866347818314263E-2</v>
      </c>
    </row>
    <row r="20" spans="8:10" x14ac:dyDescent="0.15">
      <c r="H20" s="2">
        <v>0.09</v>
      </c>
      <c r="I20" s="3"/>
      <c r="J20" s="4">
        <f t="shared" si="0"/>
        <v>4.4561538468470087E-2</v>
      </c>
    </row>
    <row r="21" spans="8:10" x14ac:dyDescent="0.15">
      <c r="H21" s="2">
        <v>0.1</v>
      </c>
      <c r="I21" s="3"/>
      <c r="J21" s="4">
        <f t="shared" si="0"/>
        <v>5.3576658707678596E-2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8:F25"/>
  <sheetViews>
    <sheetView workbookViewId="0">
      <selection activeCell="E9" sqref="E9"/>
    </sheetView>
  </sheetViews>
  <sheetFormatPr defaultRowHeight="13.5" x14ac:dyDescent="0.15"/>
  <sheetData>
    <row r="8" spans="3:4" x14ac:dyDescent="0.15">
      <c r="C8" s="13" t="s">
        <v>0</v>
      </c>
      <c r="D8" s="2">
        <v>0.05</v>
      </c>
    </row>
    <row r="9" spans="3:4" x14ac:dyDescent="0.15">
      <c r="C9" s="13" t="s">
        <v>5</v>
      </c>
      <c r="D9" s="29">
        <v>0.06</v>
      </c>
    </row>
    <row r="10" spans="3:4" x14ac:dyDescent="0.15">
      <c r="C10" s="13" t="s">
        <v>6</v>
      </c>
      <c r="D10" s="29">
        <v>0.8</v>
      </c>
    </row>
    <row r="11" spans="3:4" x14ac:dyDescent="0.15">
      <c r="C11" s="13" t="s">
        <v>7</v>
      </c>
      <c r="D11" s="29">
        <v>0.2</v>
      </c>
    </row>
    <row r="12" spans="3:4" x14ac:dyDescent="0.15">
      <c r="C12" s="13" t="s">
        <v>8</v>
      </c>
      <c r="D12" s="29">
        <v>0.2</v>
      </c>
    </row>
    <row r="13" spans="3:4" x14ac:dyDescent="0.15">
      <c r="C13" s="13" t="s">
        <v>9</v>
      </c>
      <c r="D13" s="2">
        <v>0</v>
      </c>
    </row>
    <row r="17" spans="4:6" x14ac:dyDescent="0.15">
      <c r="D17" s="30"/>
    </row>
    <row r="18" spans="4:6" x14ac:dyDescent="0.15">
      <c r="D18" s="13" t="s">
        <v>2</v>
      </c>
      <c r="E18" s="7"/>
      <c r="F18" s="13" t="s">
        <v>10</v>
      </c>
    </row>
    <row r="19" spans="4:6" x14ac:dyDescent="0.15">
      <c r="D19" s="2">
        <v>0.01</v>
      </c>
      <c r="E19" s="7"/>
      <c r="F19" s="4">
        <f>sabrVol($D$8,$D$9,$D$10,$D$11,$D$12,$D$13,D19)</f>
        <v>0.17664200062691998</v>
      </c>
    </row>
    <row r="20" spans="4:6" x14ac:dyDescent="0.15">
      <c r="D20" s="2">
        <v>0.02</v>
      </c>
      <c r="E20" s="7"/>
      <c r="F20" s="4">
        <f t="shared" ref="F20:F25" si="0">sabrVol($D$8,$D$9,$D$10,$D$11,$D$12,$D$13,D20)</f>
        <v>0.13888308495774368</v>
      </c>
    </row>
    <row r="21" spans="4:6" x14ac:dyDescent="0.15">
      <c r="D21" s="2">
        <v>0.03</v>
      </c>
      <c r="E21" s="7"/>
      <c r="F21" s="4">
        <f t="shared" si="0"/>
        <v>0.11903886345608319</v>
      </c>
    </row>
    <row r="22" spans="4:6" x14ac:dyDescent="0.15">
      <c r="D22" s="2">
        <v>0.04</v>
      </c>
      <c r="E22" s="7"/>
      <c r="F22" s="4">
        <f t="shared" si="0"/>
        <v>0.11018192441912675</v>
      </c>
    </row>
    <row r="23" spans="4:6" x14ac:dyDescent="0.15">
      <c r="D23" s="2">
        <v>0.05</v>
      </c>
      <c r="E23" s="7"/>
      <c r="F23" s="4">
        <f t="shared" si="0"/>
        <v>0.1092338521815648</v>
      </c>
    </row>
    <row r="24" spans="4:6" x14ac:dyDescent="0.15">
      <c r="D24" s="2">
        <v>0.06</v>
      </c>
      <c r="E24" s="7"/>
      <c r="F24" s="4">
        <f t="shared" si="0"/>
        <v>0.11263948686738948</v>
      </c>
    </row>
    <row r="25" spans="4:6" x14ac:dyDescent="0.15">
      <c r="D25" s="2">
        <v>7.0000000000000007E-2</v>
      </c>
      <c r="E25" s="7"/>
      <c r="F25" s="4">
        <f t="shared" si="0"/>
        <v>0.11765274496405848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AN48"/>
  <sheetViews>
    <sheetView zoomScale="85" zoomScaleNormal="85" workbookViewId="0">
      <selection activeCell="N30" sqref="N30"/>
    </sheetView>
  </sheetViews>
  <sheetFormatPr defaultRowHeight="13.5" x14ac:dyDescent="0.15"/>
  <sheetData>
    <row r="3" spans="3:40" x14ac:dyDescent="0.15">
      <c r="C3" s="8"/>
      <c r="D3" s="8"/>
      <c r="E3" s="8"/>
      <c r="F3" s="5" t="s">
        <v>11</v>
      </c>
      <c r="G3" s="2">
        <v>1.5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</row>
    <row r="4" spans="3:40" x14ac:dyDescent="0.15">
      <c r="C4" s="8"/>
      <c r="D4" s="8"/>
      <c r="E4" s="8"/>
      <c r="F4" s="5" t="s">
        <v>12</v>
      </c>
      <c r="G4" s="2">
        <v>1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</row>
    <row r="5" spans="3:40" x14ac:dyDescent="0.15">
      <c r="C5" s="8"/>
      <c r="D5" s="8"/>
      <c r="E5" s="8"/>
      <c r="F5" s="5" t="s">
        <v>13</v>
      </c>
      <c r="G5" s="2">
        <v>0.3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</row>
    <row r="6" spans="3:40" x14ac:dyDescent="0.15">
      <c r="C6" s="8"/>
      <c r="D6" s="8"/>
      <c r="E6" s="8"/>
      <c r="F6" s="5" t="s">
        <v>14</v>
      </c>
      <c r="G6" s="2">
        <v>0.7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</row>
    <row r="8" spans="3:40" x14ac:dyDescent="0.15">
      <c r="C8" s="8"/>
      <c r="D8" s="8"/>
      <c r="E8" s="8"/>
      <c r="F8" s="5" t="s">
        <v>7</v>
      </c>
      <c r="G8" s="2">
        <v>0.7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</row>
    <row r="10" spans="3:40" x14ac:dyDescent="0.15">
      <c r="C10" s="8"/>
      <c r="D10" s="8"/>
      <c r="E10" s="8"/>
      <c r="F10" s="8"/>
      <c r="G10" s="5" t="s">
        <v>57</v>
      </c>
      <c r="H10" s="8"/>
      <c r="I10" s="8"/>
      <c r="J10" s="8"/>
      <c r="K10" s="8"/>
      <c r="L10" s="8"/>
      <c r="M10" s="8"/>
      <c r="N10" s="8"/>
      <c r="O10" s="8"/>
      <c r="P10" s="13" t="s">
        <v>59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11" t="s">
        <v>15</v>
      </c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3:40" x14ac:dyDescent="0.15">
      <c r="C11" s="8"/>
      <c r="D11" s="8"/>
      <c r="E11" s="8"/>
      <c r="F11" s="8"/>
      <c r="G11" s="2">
        <v>36</v>
      </c>
      <c r="H11" s="8"/>
      <c r="I11" s="5" t="s">
        <v>16</v>
      </c>
      <c r="J11" s="8"/>
      <c r="K11" s="5" t="s">
        <v>58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 t="s">
        <v>17</v>
      </c>
      <c r="AD11" s="5" t="s">
        <v>18</v>
      </c>
      <c r="AE11" s="5" t="s">
        <v>19</v>
      </c>
      <c r="AF11" s="5" t="s">
        <v>20</v>
      </c>
      <c r="AG11" s="5" t="s">
        <v>21</v>
      </c>
      <c r="AH11" s="5" t="s">
        <v>22</v>
      </c>
      <c r="AI11" s="5" t="s">
        <v>23</v>
      </c>
      <c r="AJ11" s="5" t="s">
        <v>24</v>
      </c>
      <c r="AK11" s="5" t="s">
        <v>25</v>
      </c>
      <c r="AL11" s="5" t="s">
        <v>26</v>
      </c>
      <c r="AM11" s="5" t="s">
        <v>27</v>
      </c>
      <c r="AN11" s="5" t="s">
        <v>28</v>
      </c>
    </row>
    <row r="12" spans="3:40" x14ac:dyDescent="0.15">
      <c r="C12" s="8"/>
      <c r="D12" s="8"/>
      <c r="E12" s="8"/>
      <c r="F12" s="8"/>
      <c r="G12" s="5" t="s">
        <v>56</v>
      </c>
      <c r="H12" s="8"/>
      <c r="I12" s="8"/>
      <c r="J12" s="8"/>
      <c r="K12" s="8"/>
      <c r="L12" s="8"/>
      <c r="M12" s="8"/>
      <c r="N12" s="8"/>
      <c r="O12" s="8" t="s">
        <v>29</v>
      </c>
      <c r="P12" s="2">
        <v>0</v>
      </c>
      <c r="Q12" s="2">
        <v>1</v>
      </c>
      <c r="R12" s="2">
        <v>2</v>
      </c>
      <c r="S12" s="2">
        <v>3</v>
      </c>
      <c r="T12" s="2">
        <v>4</v>
      </c>
      <c r="U12" s="2">
        <v>5</v>
      </c>
      <c r="V12" s="2">
        <v>6</v>
      </c>
      <c r="W12" s="2">
        <v>7</v>
      </c>
      <c r="X12" s="2">
        <v>8</v>
      </c>
      <c r="Y12" s="2">
        <v>9</v>
      </c>
      <c r="Z12" s="8"/>
      <c r="AA12" s="8"/>
      <c r="AB12" s="13" t="s">
        <v>60</v>
      </c>
      <c r="AC12" s="8"/>
      <c r="AD12" s="2">
        <v>1</v>
      </c>
      <c r="AE12" s="2">
        <v>2</v>
      </c>
      <c r="AF12" s="2">
        <v>3</v>
      </c>
      <c r="AG12" s="2">
        <v>4</v>
      </c>
      <c r="AH12" s="2">
        <v>5</v>
      </c>
      <c r="AI12" s="2">
        <v>6</v>
      </c>
      <c r="AJ12" s="2">
        <v>7</v>
      </c>
      <c r="AK12" s="2">
        <v>8</v>
      </c>
      <c r="AL12" s="2">
        <v>9</v>
      </c>
      <c r="AM12" s="2">
        <v>10</v>
      </c>
      <c r="AN12" s="2">
        <v>11</v>
      </c>
    </row>
    <row r="13" spans="3:40" x14ac:dyDescent="0.15">
      <c r="C13" s="8"/>
      <c r="D13" s="1">
        <v>0</v>
      </c>
      <c r="E13" s="9" t="s">
        <v>30</v>
      </c>
      <c r="F13" s="13" t="s">
        <v>31</v>
      </c>
      <c r="G13" s="6">
        <v>0</v>
      </c>
      <c r="H13" s="8"/>
      <c r="I13" s="2">
        <f>D13</f>
        <v>0</v>
      </c>
      <c r="J13" s="8"/>
      <c r="K13" s="6">
        <v>0.02</v>
      </c>
      <c r="L13" s="8"/>
      <c r="M13" s="8"/>
      <c r="N13" s="8"/>
      <c r="O13" s="8"/>
      <c r="P13" s="4">
        <f>homovol($G$3,$G$4,$G$5,$G$6,P$12,$D13)</f>
        <v>2.2000000000000002</v>
      </c>
      <c r="Q13" s="4">
        <f t="shared" ref="Q13:Y13" si="0">homovol($G$3,$G$4,$G$5,$G$6,Q$12,$D13)</f>
        <v>0</v>
      </c>
      <c r="R13" s="4">
        <f t="shared" si="0"/>
        <v>0</v>
      </c>
      <c r="S13" s="4">
        <f t="shared" si="0"/>
        <v>0</v>
      </c>
      <c r="T13" s="4">
        <f t="shared" si="0"/>
        <v>0</v>
      </c>
      <c r="U13" s="4">
        <f t="shared" si="0"/>
        <v>0</v>
      </c>
      <c r="V13" s="4">
        <f t="shared" si="0"/>
        <v>0</v>
      </c>
      <c r="W13" s="4">
        <f t="shared" si="0"/>
        <v>0</v>
      </c>
      <c r="X13" s="4">
        <f t="shared" si="0"/>
        <v>0</v>
      </c>
      <c r="Y13" s="4">
        <f t="shared" si="0"/>
        <v>0</v>
      </c>
      <c r="Z13" s="8"/>
      <c r="AA13" s="8"/>
      <c r="AB13" s="5">
        <v>0</v>
      </c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3:40" x14ac:dyDescent="0.15">
      <c r="C14" s="8">
        <v>1</v>
      </c>
      <c r="D14" s="2">
        <v>1</v>
      </c>
      <c r="E14" s="8"/>
      <c r="F14" s="13" t="s">
        <v>18</v>
      </c>
      <c r="G14" s="6">
        <v>0.3</v>
      </c>
      <c r="H14" s="8"/>
      <c r="I14" s="2">
        <f t="shared" ref="I14:I48" si="1">D14</f>
        <v>1</v>
      </c>
      <c r="J14" s="8"/>
      <c r="K14" s="6">
        <v>0.02</v>
      </c>
      <c r="L14" s="8"/>
      <c r="M14" s="8"/>
      <c r="N14" s="8"/>
      <c r="O14" s="8"/>
      <c r="P14" s="4">
        <f t="shared" ref="P14:Y48" si="2">homovol($G$3,$G$4,$G$5,$G$6,P$12,$D14)</f>
        <v>2.5520455517042948</v>
      </c>
      <c r="Q14" s="4">
        <f t="shared" si="2"/>
        <v>2.2000000000000002</v>
      </c>
      <c r="R14" s="4">
        <f t="shared" si="2"/>
        <v>0</v>
      </c>
      <c r="S14" s="4">
        <f t="shared" si="2"/>
        <v>0</v>
      </c>
      <c r="T14" s="4">
        <f t="shared" si="2"/>
        <v>0</v>
      </c>
      <c r="U14" s="4">
        <f t="shared" si="2"/>
        <v>0</v>
      </c>
      <c r="V14" s="4">
        <f t="shared" si="2"/>
        <v>0</v>
      </c>
      <c r="W14" s="4">
        <f t="shared" si="2"/>
        <v>0</v>
      </c>
      <c r="X14" s="4">
        <f t="shared" si="2"/>
        <v>0</v>
      </c>
      <c r="Y14" s="4">
        <f t="shared" si="2"/>
        <v>0</v>
      </c>
      <c r="Z14" s="8"/>
      <c r="AA14" s="8"/>
      <c r="AB14" s="5" t="s">
        <v>18</v>
      </c>
      <c r="AC14" s="8"/>
      <c r="AD14" s="14">
        <f>rebonatoswaption($C14,$D14,$D14+AD$12,$G$11,$G$13:$G$48,$I$13:$I$48,$K$13:$K$48,$G$3,$G$4,$G$5,$G$6,$G$8)</f>
        <v>9.2261111939864054E-2</v>
      </c>
      <c r="AE14" s="14">
        <f t="shared" ref="AE14:AN14" si="3">rebonatoswaption($C14,$D14,$D14+AE$12,$G$11,$G$13:$G$48,$I$13:$I$48,$K$13:$K$48,$G$3,$G$4,$G$5,$G$6,$G$8)</f>
        <v>9.9109687121469198E-2</v>
      </c>
      <c r="AF14" s="14">
        <f t="shared" si="3"/>
        <v>0.10472806364267581</v>
      </c>
      <c r="AG14" s="14">
        <f t="shared" si="3"/>
        <v>0.10922609546893648</v>
      </c>
      <c r="AH14" s="14">
        <f t="shared" si="3"/>
        <v>0.11277495230958405</v>
      </c>
      <c r="AI14" s="14">
        <f t="shared" si="3"/>
        <v>0.11554131518254626</v>
      </c>
      <c r="AJ14" s="14">
        <f t="shared" si="3"/>
        <v>0.11767215865547789</v>
      </c>
      <c r="AK14" s="14">
        <f t="shared" si="3"/>
        <v>0.11929201066221121</v>
      </c>
      <c r="AL14" s="14">
        <f t="shared" si="3"/>
        <v>0.12050417762821686</v>
      </c>
      <c r="AM14" s="14">
        <f t="shared" si="3"/>
        <v>0.12139325695489912</v>
      </c>
      <c r="AN14" s="14">
        <f t="shared" si="3"/>
        <v>0.12202792222956976</v>
      </c>
    </row>
    <row r="15" spans="3:40" x14ac:dyDescent="0.15">
      <c r="C15" s="8">
        <v>2</v>
      </c>
      <c r="D15" s="2">
        <v>2</v>
      </c>
      <c r="E15" s="8"/>
      <c r="F15" s="13" t="s">
        <v>19</v>
      </c>
      <c r="G15" s="6">
        <v>0.3</v>
      </c>
      <c r="H15" s="8"/>
      <c r="I15" s="2">
        <f t="shared" si="1"/>
        <v>2</v>
      </c>
      <c r="J15" s="8"/>
      <c r="K15" s="6">
        <v>0.02</v>
      </c>
      <c r="L15" s="8"/>
      <c r="M15" s="8"/>
      <c r="N15" s="8"/>
      <c r="O15" s="8"/>
      <c r="P15" s="4">
        <f t="shared" si="2"/>
        <v>2.6208407263290927</v>
      </c>
      <c r="Q15" s="4">
        <f t="shared" si="2"/>
        <v>2.5520455517042948</v>
      </c>
      <c r="R15" s="4">
        <f t="shared" si="2"/>
        <v>2.2000000000000002</v>
      </c>
      <c r="S15" s="4">
        <f t="shared" si="2"/>
        <v>0</v>
      </c>
      <c r="T15" s="4">
        <f t="shared" si="2"/>
        <v>0</v>
      </c>
      <c r="U15" s="4">
        <f t="shared" si="2"/>
        <v>0</v>
      </c>
      <c r="V15" s="4">
        <f t="shared" si="2"/>
        <v>0</v>
      </c>
      <c r="W15" s="4">
        <f t="shared" si="2"/>
        <v>0</v>
      </c>
      <c r="X15" s="4">
        <f t="shared" si="2"/>
        <v>0</v>
      </c>
      <c r="Y15" s="4">
        <f t="shared" si="2"/>
        <v>0</v>
      </c>
      <c r="Z15" s="8"/>
      <c r="AA15" s="8"/>
      <c r="AB15" s="5" t="s">
        <v>19</v>
      </c>
      <c r="AC15" s="8"/>
      <c r="AD15" s="14">
        <f t="shared" ref="AD15:AN36" si="4">rebonatoswaption($C15,$D15,$D15+AD$12,$G$11,$G$13:$G$48,$I$13:$I$48,$K$13:$K$48,$G$3,$G$4,$G$5,$G$6,$G$8)</f>
        <v>0.14781248055919155</v>
      </c>
      <c r="AE15" s="14">
        <f t="shared" si="4"/>
        <v>0.15515258939327042</v>
      </c>
      <c r="AF15" s="14">
        <f t="shared" si="4"/>
        <v>0.16105344673578489</v>
      </c>
      <c r="AG15" s="14">
        <f t="shared" si="4"/>
        <v>0.16565775082097556</v>
      </c>
      <c r="AH15" s="14">
        <f t="shared" si="4"/>
        <v>0.16917971216896324</v>
      </c>
      <c r="AI15" s="14">
        <f t="shared" si="4"/>
        <v>0.17182265334406654</v>
      </c>
      <c r="AJ15" s="14">
        <f t="shared" si="4"/>
        <v>0.17376237944671558</v>
      </c>
      <c r="AK15" s="14">
        <f t="shared" si="4"/>
        <v>0.17514552075398024</v>
      </c>
      <c r="AL15" s="14">
        <f t="shared" si="4"/>
        <v>0.17609211763602173</v>
      </c>
      <c r="AM15" s="14">
        <f t="shared" si="4"/>
        <v>0.17669932387462575</v>
      </c>
      <c r="AN15" s="14">
        <f t="shared" si="4"/>
        <v>0.17704514999187163</v>
      </c>
    </row>
    <row r="16" spans="3:40" x14ac:dyDescent="0.15">
      <c r="C16" s="8">
        <v>3</v>
      </c>
      <c r="D16" s="2">
        <v>3</v>
      </c>
      <c r="E16" s="8"/>
      <c r="F16" s="13" t="s">
        <v>20</v>
      </c>
      <c r="G16" s="6">
        <v>0.3</v>
      </c>
      <c r="H16" s="8"/>
      <c r="I16" s="2">
        <f t="shared" si="1"/>
        <v>3</v>
      </c>
      <c r="J16" s="8"/>
      <c r="K16" s="6">
        <v>0.02</v>
      </c>
      <c r="L16" s="8"/>
      <c r="M16" s="8"/>
      <c r="N16" s="8"/>
      <c r="O16" s="8"/>
      <c r="P16" s="4">
        <f t="shared" si="2"/>
        <v>2.5295634688326962</v>
      </c>
      <c r="Q16" s="4">
        <f t="shared" si="2"/>
        <v>2.6208407263290927</v>
      </c>
      <c r="R16" s="4">
        <f t="shared" si="2"/>
        <v>2.5520455517042948</v>
      </c>
      <c r="S16" s="4">
        <f t="shared" si="2"/>
        <v>2.2000000000000002</v>
      </c>
      <c r="T16" s="4">
        <f t="shared" si="2"/>
        <v>0</v>
      </c>
      <c r="U16" s="4">
        <f t="shared" si="2"/>
        <v>0</v>
      </c>
      <c r="V16" s="4">
        <f t="shared" si="2"/>
        <v>0</v>
      </c>
      <c r="W16" s="4">
        <f t="shared" si="2"/>
        <v>0</v>
      </c>
      <c r="X16" s="4">
        <f t="shared" si="2"/>
        <v>0</v>
      </c>
      <c r="Y16" s="4">
        <f t="shared" si="2"/>
        <v>0</v>
      </c>
      <c r="Z16" s="8"/>
      <c r="AA16" s="8"/>
      <c r="AB16" s="5" t="s">
        <v>20</v>
      </c>
      <c r="AC16" s="8"/>
      <c r="AD16" s="14">
        <f t="shared" si="4"/>
        <v>0.20668780011726426</v>
      </c>
      <c r="AE16" s="14">
        <f t="shared" si="4"/>
        <v>0.21274212296459122</v>
      </c>
      <c r="AF16" s="14">
        <f t="shared" si="4"/>
        <v>0.21739334078373465</v>
      </c>
      <c r="AG16" s="14">
        <f t="shared" si="4"/>
        <v>0.22081052044338659</v>
      </c>
      <c r="AH16" s="14">
        <f t="shared" si="4"/>
        <v>0.22322231060417033</v>
      </c>
      <c r="AI16" s="14">
        <f t="shared" si="4"/>
        <v>0.2248374290050025</v>
      </c>
      <c r="AJ16" s="14">
        <f t="shared" si="4"/>
        <v>0.22583154943094561</v>
      </c>
      <c r="AK16" s="14">
        <f t="shared" si="4"/>
        <v>0.22634806787122436</v>
      </c>
      <c r="AL16" s="14">
        <f t="shared" si="4"/>
        <v>0.22650220364996057</v>
      </c>
      <c r="AM16" s="14">
        <f t="shared" si="4"/>
        <v>0.22638561477642194</v>
      </c>
      <c r="AN16" s="14">
        <f t="shared" si="4"/>
        <v>0.22607067310980786</v>
      </c>
    </row>
    <row r="17" spans="3:40" x14ac:dyDescent="0.15">
      <c r="C17" s="8">
        <v>4</v>
      </c>
      <c r="D17" s="2">
        <v>4</v>
      </c>
      <c r="E17" s="8"/>
      <c r="F17" s="13" t="s">
        <v>21</v>
      </c>
      <c r="G17" s="6">
        <v>0.3</v>
      </c>
      <c r="H17" s="8"/>
      <c r="I17" s="2">
        <f t="shared" si="1"/>
        <v>4</v>
      </c>
      <c r="J17" s="8"/>
      <c r="K17" s="6">
        <v>0.02</v>
      </c>
      <c r="L17" s="8"/>
      <c r="M17" s="8"/>
      <c r="N17" s="8"/>
      <c r="O17" s="8"/>
      <c r="P17" s="4">
        <f t="shared" si="2"/>
        <v>2.3565681655171118</v>
      </c>
      <c r="Q17" s="4">
        <f t="shared" si="2"/>
        <v>2.5295634688326962</v>
      </c>
      <c r="R17" s="4">
        <f t="shared" si="2"/>
        <v>2.6208407263290927</v>
      </c>
      <c r="S17" s="4">
        <f t="shared" si="2"/>
        <v>2.5520455517042948</v>
      </c>
      <c r="T17" s="4">
        <f t="shared" si="2"/>
        <v>2.2000000000000002</v>
      </c>
      <c r="U17" s="4">
        <f t="shared" si="2"/>
        <v>0</v>
      </c>
      <c r="V17" s="4">
        <f t="shared" si="2"/>
        <v>0</v>
      </c>
      <c r="W17" s="4">
        <f t="shared" si="2"/>
        <v>0</v>
      </c>
      <c r="X17" s="4">
        <f t="shared" si="2"/>
        <v>0</v>
      </c>
      <c r="Y17" s="4">
        <f t="shared" si="2"/>
        <v>0</v>
      </c>
      <c r="Z17" s="8"/>
      <c r="AA17" s="8"/>
      <c r="AB17" s="5" t="s">
        <v>21</v>
      </c>
      <c r="AC17" s="8"/>
      <c r="AD17" s="14">
        <f t="shared" si="4"/>
        <v>0.26359304648266696</v>
      </c>
      <c r="AE17" s="14">
        <f t="shared" si="4"/>
        <v>0.26783294036782579</v>
      </c>
      <c r="AF17" s="14">
        <f t="shared" si="4"/>
        <v>0.27081843357477453</v>
      </c>
      <c r="AG17" s="14">
        <f t="shared" si="4"/>
        <v>0.27272046259302762</v>
      </c>
      <c r="AH17" s="14">
        <f t="shared" si="4"/>
        <v>0.2737624784084316</v>
      </c>
      <c r="AI17" s="14">
        <f t="shared" si="4"/>
        <v>0.27414354357063087</v>
      </c>
      <c r="AJ17" s="14">
        <f t="shared" si="4"/>
        <v>0.27402766592865146</v>
      </c>
      <c r="AK17" s="14">
        <f t="shared" si="4"/>
        <v>0.27354610715205674</v>
      </c>
      <c r="AL17" s="14">
        <f t="shared" si="4"/>
        <v>0.27280234921499724</v>
      </c>
      <c r="AM17" s="14">
        <f t="shared" si="4"/>
        <v>0.27187714595015139</v>
      </c>
      <c r="AN17" s="14">
        <f t="shared" si="4"/>
        <v>0.27083297905348447</v>
      </c>
    </row>
    <row r="18" spans="3:40" x14ac:dyDescent="0.15">
      <c r="C18" s="8">
        <v>5</v>
      </c>
      <c r="D18" s="2">
        <v>5</v>
      </c>
      <c r="E18" s="8"/>
      <c r="F18" s="13" t="s">
        <v>22</v>
      </c>
      <c r="G18" s="6">
        <v>0.3</v>
      </c>
      <c r="H18" s="8"/>
      <c r="I18" s="2">
        <f t="shared" si="1"/>
        <v>5</v>
      </c>
      <c r="J18" s="8"/>
      <c r="K18" s="6">
        <v>0.02</v>
      </c>
      <c r="L18" s="8"/>
      <c r="M18" s="8"/>
      <c r="N18" s="8"/>
      <c r="O18" s="8"/>
      <c r="P18" s="4">
        <f t="shared" si="2"/>
        <v>2.1503460409647936</v>
      </c>
      <c r="Q18" s="4">
        <f t="shared" si="2"/>
        <v>2.3565681655171118</v>
      </c>
      <c r="R18" s="4">
        <f t="shared" si="2"/>
        <v>2.5295634688326962</v>
      </c>
      <c r="S18" s="4">
        <f t="shared" si="2"/>
        <v>2.6208407263290927</v>
      </c>
      <c r="T18" s="4">
        <f t="shared" si="2"/>
        <v>2.5520455517042948</v>
      </c>
      <c r="U18" s="4">
        <f t="shared" si="2"/>
        <v>2.2000000000000002</v>
      </c>
      <c r="V18" s="4">
        <f t="shared" si="2"/>
        <v>0</v>
      </c>
      <c r="W18" s="4">
        <f t="shared" si="2"/>
        <v>0</v>
      </c>
      <c r="X18" s="4">
        <f t="shared" si="2"/>
        <v>0</v>
      </c>
      <c r="Y18" s="4">
        <f t="shared" si="2"/>
        <v>0</v>
      </c>
      <c r="Z18" s="8"/>
      <c r="AA18" s="8"/>
      <c r="AB18" s="5" t="s">
        <v>22</v>
      </c>
      <c r="AC18" s="8"/>
      <c r="AD18" s="14">
        <f t="shared" si="4"/>
        <v>0.31679351964995117</v>
      </c>
      <c r="AE18" s="14">
        <f t="shared" si="4"/>
        <v>0.31916376444453065</v>
      </c>
      <c r="AF18" s="14">
        <f t="shared" si="4"/>
        <v>0.32047040819724493</v>
      </c>
      <c r="AG18" s="14">
        <f t="shared" si="4"/>
        <v>0.32086903843146053</v>
      </c>
      <c r="AH18" s="14">
        <f t="shared" si="4"/>
        <v>0.32056726132669666</v>
      </c>
      <c r="AI18" s="14">
        <f t="shared" si="4"/>
        <v>0.31974790334095132</v>
      </c>
      <c r="AJ18" s="14">
        <f t="shared" si="4"/>
        <v>0.31855924571192695</v>
      </c>
      <c r="AK18" s="14">
        <f t="shared" si="4"/>
        <v>0.3171179254089912</v>
      </c>
      <c r="AL18" s="14">
        <f t="shared" si="4"/>
        <v>0.315514179640208</v>
      </c>
      <c r="AM18" s="14">
        <f t="shared" si="4"/>
        <v>0.31381696792900049</v>
      </c>
      <c r="AN18" s="14">
        <f t="shared" si="4"/>
        <v>0.31207837985152831</v>
      </c>
    </row>
    <row r="19" spans="3:40" x14ac:dyDescent="0.15">
      <c r="C19" s="8">
        <v>6</v>
      </c>
      <c r="D19" s="2">
        <v>6</v>
      </c>
      <c r="E19" s="8"/>
      <c r="F19" s="13" t="s">
        <v>23</v>
      </c>
      <c r="G19" s="6">
        <v>0.3</v>
      </c>
      <c r="H19" s="8"/>
      <c r="I19" s="2">
        <f t="shared" si="1"/>
        <v>6</v>
      </c>
      <c r="J19" s="8"/>
      <c r="K19" s="6">
        <v>0.02</v>
      </c>
      <c r="L19" s="8"/>
      <c r="M19" s="8"/>
      <c r="N19" s="8"/>
      <c r="O19" s="8"/>
      <c r="P19" s="4">
        <f t="shared" si="2"/>
        <v>1.9397416616618992</v>
      </c>
      <c r="Q19" s="4">
        <f t="shared" si="2"/>
        <v>2.1503460409647936</v>
      </c>
      <c r="R19" s="4">
        <f t="shared" si="2"/>
        <v>2.3565681655171118</v>
      </c>
      <c r="S19" s="4">
        <f t="shared" si="2"/>
        <v>2.5295634688326962</v>
      </c>
      <c r="T19" s="4">
        <f t="shared" si="2"/>
        <v>2.6208407263290927</v>
      </c>
      <c r="U19" s="4">
        <f t="shared" si="2"/>
        <v>2.5520455517042948</v>
      </c>
      <c r="V19" s="4">
        <f t="shared" si="2"/>
        <v>2.2000000000000002</v>
      </c>
      <c r="W19" s="4">
        <f t="shared" si="2"/>
        <v>0</v>
      </c>
      <c r="X19" s="4">
        <f t="shared" si="2"/>
        <v>0</v>
      </c>
      <c r="Y19" s="4">
        <f t="shared" si="2"/>
        <v>0</v>
      </c>
      <c r="Z19" s="8"/>
      <c r="AA19" s="8"/>
      <c r="AB19" s="5" t="s">
        <v>23</v>
      </c>
      <c r="AC19" s="8"/>
      <c r="AD19" s="14">
        <f t="shared" si="4"/>
        <v>0.36589430187838085</v>
      </c>
      <c r="AE19" s="14">
        <f t="shared" si="4"/>
        <v>0.36653753634237113</v>
      </c>
      <c r="AF19" s="14">
        <f t="shared" si="4"/>
        <v>0.36631055465466639</v>
      </c>
      <c r="AG19" s="14">
        <f t="shared" si="4"/>
        <v>0.36534531385417918</v>
      </c>
      <c r="AH19" s="14">
        <f t="shared" si="4"/>
        <v>0.36382966190460458</v>
      </c>
      <c r="AI19" s="14">
        <f t="shared" si="4"/>
        <v>0.36192867372006399</v>
      </c>
      <c r="AJ19" s="14">
        <f t="shared" si="4"/>
        <v>0.35977470364289277</v>
      </c>
      <c r="AK19" s="14">
        <f t="shared" si="4"/>
        <v>0.3574702536970833</v>
      </c>
      <c r="AL19" s="14">
        <f t="shared" si="4"/>
        <v>0.35509313440086199</v>
      </c>
      <c r="AM19" s="14">
        <f t="shared" si="4"/>
        <v>0.35270145149631504</v>
      </c>
      <c r="AN19" s="14">
        <f t="shared" si="4"/>
        <v>0.3502597322918119</v>
      </c>
    </row>
    <row r="20" spans="3:40" x14ac:dyDescent="0.15">
      <c r="C20" s="8">
        <v>7</v>
      </c>
      <c r="D20" s="2">
        <v>7</v>
      </c>
      <c r="E20" s="8"/>
      <c r="F20" s="13" t="s">
        <v>24</v>
      </c>
      <c r="G20" s="6">
        <v>0.3</v>
      </c>
      <c r="H20" s="8"/>
      <c r="I20" s="2">
        <f t="shared" si="1"/>
        <v>7</v>
      </c>
      <c r="J20" s="8"/>
      <c r="K20" s="6">
        <v>0.02</v>
      </c>
      <c r="L20" s="8"/>
      <c r="M20" s="8"/>
      <c r="N20" s="8"/>
      <c r="O20" s="8"/>
      <c r="P20" s="4">
        <f t="shared" si="2"/>
        <v>1.7408796401503461</v>
      </c>
      <c r="Q20" s="4">
        <f t="shared" si="2"/>
        <v>1.9397416616618992</v>
      </c>
      <c r="R20" s="4">
        <f t="shared" si="2"/>
        <v>2.1503460409647936</v>
      </c>
      <c r="S20" s="4">
        <f t="shared" si="2"/>
        <v>2.3565681655171118</v>
      </c>
      <c r="T20" s="4">
        <f t="shared" si="2"/>
        <v>2.5295634688326962</v>
      </c>
      <c r="U20" s="4">
        <f t="shared" si="2"/>
        <v>2.6208407263290927</v>
      </c>
      <c r="V20" s="4">
        <f t="shared" si="2"/>
        <v>2.5520455517042948</v>
      </c>
      <c r="W20" s="4">
        <f t="shared" si="2"/>
        <v>2.2000000000000002</v>
      </c>
      <c r="X20" s="4">
        <f t="shared" si="2"/>
        <v>0</v>
      </c>
      <c r="Y20" s="4">
        <f t="shared" si="2"/>
        <v>0</v>
      </c>
      <c r="Z20" s="8"/>
      <c r="AA20" s="8"/>
      <c r="AB20" s="5" t="s">
        <v>24</v>
      </c>
      <c r="AC20" s="8"/>
      <c r="AD20" s="14">
        <f t="shared" si="4"/>
        <v>0.41107658466917929</v>
      </c>
      <c r="AE20" s="14">
        <f t="shared" si="4"/>
        <v>0.4102068534959436</v>
      </c>
      <c r="AF20" s="14">
        <f t="shared" si="4"/>
        <v>0.40864298498120849</v>
      </c>
      <c r="AG20" s="14">
        <f t="shared" si="4"/>
        <v>0.40649124110251267</v>
      </c>
      <c r="AH20" s="14">
        <f t="shared" si="4"/>
        <v>0.40391990387753929</v>
      </c>
      <c r="AI20" s="14">
        <f t="shared" si="4"/>
        <v>0.40107753950494007</v>
      </c>
      <c r="AJ20" s="14">
        <f t="shared" si="4"/>
        <v>0.39808225970029065</v>
      </c>
      <c r="AK20" s="14">
        <f t="shared" si="4"/>
        <v>0.39474433652356533</v>
      </c>
      <c r="AL20" s="14">
        <f t="shared" si="4"/>
        <v>0.39069653698812939</v>
      </c>
      <c r="AM20" s="14">
        <f t="shared" si="4"/>
        <v>0.38582766142219616</v>
      </c>
      <c r="AN20" s="14">
        <f t="shared" si="4"/>
        <v>0.38023806159076651</v>
      </c>
    </row>
    <row r="21" spans="3:40" x14ac:dyDescent="0.15">
      <c r="C21" s="8">
        <v>8</v>
      </c>
      <c r="D21" s="2">
        <v>8</v>
      </c>
      <c r="E21" s="8"/>
      <c r="F21" s="13" t="s">
        <v>25</v>
      </c>
      <c r="G21" s="6">
        <v>0.3</v>
      </c>
      <c r="H21" s="8"/>
      <c r="I21" s="2">
        <f t="shared" si="1"/>
        <v>8</v>
      </c>
      <c r="J21" s="8"/>
      <c r="K21" s="6">
        <v>0.02</v>
      </c>
      <c r="L21" s="8"/>
      <c r="M21" s="8"/>
      <c r="N21" s="8"/>
      <c r="O21" s="8"/>
      <c r="P21" s="4">
        <f t="shared" si="2"/>
        <v>1.5618205562494187</v>
      </c>
      <c r="Q21" s="4">
        <f t="shared" si="2"/>
        <v>1.7408796401503461</v>
      </c>
      <c r="R21" s="4">
        <f t="shared" si="2"/>
        <v>1.9397416616618992</v>
      </c>
      <c r="S21" s="4">
        <f t="shared" si="2"/>
        <v>2.1503460409647936</v>
      </c>
      <c r="T21" s="4">
        <f t="shared" si="2"/>
        <v>2.3565681655171118</v>
      </c>
      <c r="U21" s="4">
        <f t="shared" si="2"/>
        <v>2.5295634688326962</v>
      </c>
      <c r="V21" s="4">
        <f t="shared" si="2"/>
        <v>2.6208407263290927</v>
      </c>
      <c r="W21" s="4">
        <f t="shared" si="2"/>
        <v>2.5520455517042948</v>
      </c>
      <c r="X21" s="4">
        <f t="shared" si="2"/>
        <v>2.2000000000000002</v>
      </c>
      <c r="Y21" s="4">
        <f t="shared" si="2"/>
        <v>0</v>
      </c>
      <c r="Z21" s="8"/>
      <c r="AA21" s="8"/>
      <c r="AB21" s="5" t="s">
        <v>25</v>
      </c>
      <c r="AC21" s="8"/>
      <c r="AD21" s="14">
        <f t="shared" si="4"/>
        <v>0.45275415156650989</v>
      </c>
      <c r="AE21" s="14">
        <f t="shared" si="4"/>
        <v>0.45059539306756458</v>
      </c>
      <c r="AF21" s="14">
        <f t="shared" si="4"/>
        <v>0.4478934207995165</v>
      </c>
      <c r="AG21" s="14">
        <f t="shared" si="4"/>
        <v>0.44473022820064578</v>
      </c>
      <c r="AH21" s="14">
        <f t="shared" si="4"/>
        <v>0.44077437711753803</v>
      </c>
      <c r="AI21" s="14">
        <f t="shared" si="4"/>
        <v>0.43541274669850255</v>
      </c>
      <c r="AJ21" s="14">
        <f t="shared" si="4"/>
        <v>0.42852138808887119</v>
      </c>
      <c r="AK21" s="14">
        <f t="shared" si="4"/>
        <v>0.42040635465122117</v>
      </c>
      <c r="AL21" s="14">
        <f t="shared" si="4"/>
        <v>0.41149057004417566</v>
      </c>
      <c r="AM21" s="14">
        <f t="shared" si="4"/>
        <v>0.40217188497231071</v>
      </c>
      <c r="AN21" s="14">
        <f t="shared" si="4"/>
        <v>0.39277231496730952</v>
      </c>
    </row>
    <row r="22" spans="3:40" x14ac:dyDescent="0.15">
      <c r="C22" s="8">
        <v>9</v>
      </c>
      <c r="D22" s="2">
        <v>9</v>
      </c>
      <c r="E22" s="8"/>
      <c r="F22" s="13" t="s">
        <v>26</v>
      </c>
      <c r="G22" s="6">
        <v>0.3</v>
      </c>
      <c r="H22" s="8"/>
      <c r="I22" s="2">
        <f t="shared" si="1"/>
        <v>9</v>
      </c>
      <c r="J22" s="8"/>
      <c r="K22" s="6">
        <v>0.02</v>
      </c>
      <c r="L22" s="8"/>
      <c r="M22" s="8"/>
      <c r="N22" s="8"/>
      <c r="O22" s="8"/>
      <c r="P22" s="4">
        <f t="shared" si="2"/>
        <v>1.4056578837673728</v>
      </c>
      <c r="Q22" s="4">
        <f t="shared" si="2"/>
        <v>1.5618205562494187</v>
      </c>
      <c r="R22" s="4">
        <f t="shared" si="2"/>
        <v>1.7408796401503461</v>
      </c>
      <c r="S22" s="4">
        <f t="shared" si="2"/>
        <v>1.9397416616618992</v>
      </c>
      <c r="T22" s="4">
        <f t="shared" si="2"/>
        <v>2.1503460409647936</v>
      </c>
      <c r="U22" s="4">
        <f t="shared" si="2"/>
        <v>2.3565681655171118</v>
      </c>
      <c r="V22" s="4">
        <f t="shared" si="2"/>
        <v>2.5295634688326962</v>
      </c>
      <c r="W22" s="4">
        <f t="shared" si="2"/>
        <v>2.6208407263290927</v>
      </c>
      <c r="X22" s="4">
        <f t="shared" si="2"/>
        <v>2.5520455517042948</v>
      </c>
      <c r="Y22" s="4">
        <f t="shared" si="2"/>
        <v>2.2000000000000002</v>
      </c>
      <c r="Z22" s="8"/>
      <c r="AA22" s="8"/>
      <c r="AB22" s="5" t="s">
        <v>26</v>
      </c>
      <c r="AC22" s="8"/>
      <c r="AD22" s="14">
        <f t="shared" si="4"/>
        <v>0.49140501306626183</v>
      </c>
      <c r="AE22" s="14">
        <f t="shared" si="4"/>
        <v>0.48816290327813228</v>
      </c>
      <c r="AF22" s="14">
        <f t="shared" si="4"/>
        <v>0.48253276132801337</v>
      </c>
      <c r="AG22" s="14">
        <f t="shared" si="4"/>
        <v>0.4736670744633481</v>
      </c>
      <c r="AH22" s="14">
        <f t="shared" si="4"/>
        <v>0.46246956266683342</v>
      </c>
      <c r="AI22" s="14">
        <f t="shared" si="4"/>
        <v>0.44991759817107857</v>
      </c>
      <c r="AJ22" s="14">
        <f t="shared" si="4"/>
        <v>0.43678897498983665</v>
      </c>
      <c r="AK22" s="14">
        <f t="shared" si="4"/>
        <v>0.42364157058447838</v>
      </c>
      <c r="AL22" s="14">
        <f t="shared" si="4"/>
        <v>0.41084916134643651</v>
      </c>
      <c r="AM22" s="14">
        <f t="shared" si="4"/>
        <v>0.39864521513943474</v>
      </c>
      <c r="AN22" s="14">
        <f t="shared" si="4"/>
        <v>0.38716155089297477</v>
      </c>
    </row>
    <row r="23" spans="3:40" x14ac:dyDescent="0.15">
      <c r="C23" s="8">
        <v>10</v>
      </c>
      <c r="D23" s="2">
        <v>10</v>
      </c>
      <c r="E23" s="8"/>
      <c r="F23" s="13" t="s">
        <v>27</v>
      </c>
      <c r="G23" s="6">
        <v>0.3</v>
      </c>
      <c r="H23" s="8"/>
      <c r="I23" s="2">
        <f t="shared" si="1"/>
        <v>10</v>
      </c>
      <c r="J23" s="8"/>
      <c r="K23" s="6">
        <v>0.02</v>
      </c>
      <c r="L23" s="8"/>
      <c r="M23" s="8"/>
      <c r="N23" s="8"/>
      <c r="O23" s="8"/>
      <c r="P23" s="4">
        <f t="shared" si="2"/>
        <v>1.2725512862304353</v>
      </c>
      <c r="Q23" s="4">
        <f t="shared" si="2"/>
        <v>1.4056578837673728</v>
      </c>
      <c r="R23" s="4">
        <f t="shared" si="2"/>
        <v>1.5618205562494187</v>
      </c>
      <c r="S23" s="4">
        <f t="shared" si="2"/>
        <v>1.7408796401503461</v>
      </c>
      <c r="T23" s="4">
        <f t="shared" si="2"/>
        <v>1.9397416616618992</v>
      </c>
      <c r="U23" s="4">
        <f t="shared" si="2"/>
        <v>2.1503460409647936</v>
      </c>
      <c r="V23" s="4">
        <f t="shared" si="2"/>
        <v>2.3565681655171118</v>
      </c>
      <c r="W23" s="4">
        <f t="shared" si="2"/>
        <v>2.5295634688326962</v>
      </c>
      <c r="X23" s="4">
        <f t="shared" si="2"/>
        <v>2.6208407263290927</v>
      </c>
      <c r="Y23" s="4">
        <f t="shared" si="2"/>
        <v>2.5520455517042948</v>
      </c>
      <c r="Z23" s="8"/>
      <c r="AA23" s="8"/>
      <c r="AB23" s="5" t="s">
        <v>27</v>
      </c>
      <c r="AC23" s="8"/>
      <c r="AD23" s="14">
        <f t="shared" si="4"/>
        <v>0.51562597070690985</v>
      </c>
      <c r="AE23" s="14">
        <f t="shared" si="4"/>
        <v>0.49917012660585935</v>
      </c>
      <c r="AF23" s="14">
        <f t="shared" si="4"/>
        <v>0.4813529562894866</v>
      </c>
      <c r="AG23" s="14">
        <f t="shared" si="4"/>
        <v>0.46321316980994764</v>
      </c>
      <c r="AH23" s="14">
        <f t="shared" si="4"/>
        <v>0.44544242277646129</v>
      </c>
      <c r="AI23" s="14">
        <f t="shared" si="4"/>
        <v>0.4284729557762087</v>
      </c>
      <c r="AJ23" s="14">
        <f t="shared" si="4"/>
        <v>0.41255115472675297</v>
      </c>
      <c r="AK23" s="14">
        <f t="shared" si="4"/>
        <v>0.39779471192821753</v>
      </c>
      <c r="AL23" s="14">
        <f t="shared" si="4"/>
        <v>0.38423517558002651</v>
      </c>
      <c r="AM23" s="14">
        <f t="shared" si="4"/>
        <v>0.37184871309610196</v>
      </c>
      <c r="AN23" s="14">
        <f t="shared" si="4"/>
        <v>0.36057783514243591</v>
      </c>
    </row>
    <row r="24" spans="3:40" x14ac:dyDescent="0.15">
      <c r="C24" s="8">
        <v>11</v>
      </c>
      <c r="D24" s="2">
        <v>11</v>
      </c>
      <c r="E24" s="8"/>
      <c r="F24" s="13" t="s">
        <v>28</v>
      </c>
      <c r="G24" s="6">
        <v>0.3</v>
      </c>
      <c r="H24" s="8"/>
      <c r="I24" s="2">
        <f t="shared" si="1"/>
        <v>11</v>
      </c>
      <c r="J24" s="8"/>
      <c r="K24" s="6">
        <v>0.02</v>
      </c>
      <c r="L24" s="8"/>
      <c r="M24" s="8"/>
      <c r="N24" s="8"/>
      <c r="O24" s="8"/>
      <c r="P24" s="4">
        <f t="shared" si="2"/>
        <v>1.1610395925155002</v>
      </c>
      <c r="Q24" s="4">
        <f t="shared" si="2"/>
        <v>1.2725512862304353</v>
      </c>
      <c r="R24" s="4">
        <f t="shared" si="2"/>
        <v>1.4056578837673728</v>
      </c>
      <c r="S24" s="4">
        <f t="shared" si="2"/>
        <v>1.5618205562494187</v>
      </c>
      <c r="T24" s="4">
        <f t="shared" si="2"/>
        <v>1.7408796401503461</v>
      </c>
      <c r="U24" s="4">
        <f t="shared" si="2"/>
        <v>1.9397416616618992</v>
      </c>
      <c r="V24" s="4">
        <f t="shared" si="2"/>
        <v>2.1503460409647936</v>
      </c>
      <c r="W24" s="4">
        <f t="shared" si="2"/>
        <v>2.3565681655171118</v>
      </c>
      <c r="X24" s="4">
        <f t="shared" si="2"/>
        <v>2.5295634688326962</v>
      </c>
      <c r="Y24" s="4">
        <f t="shared" si="2"/>
        <v>2.6208407263290927</v>
      </c>
      <c r="Z24" s="8"/>
      <c r="AA24" s="8"/>
      <c r="AB24" s="5" t="s">
        <v>28</v>
      </c>
      <c r="AC24" s="8"/>
      <c r="AD24" s="14">
        <f t="shared" si="4"/>
        <v>0.46439740249327621</v>
      </c>
      <c r="AE24" s="14">
        <f t="shared" si="4"/>
        <v>0.44433871357279509</v>
      </c>
      <c r="AF24" s="14">
        <f t="shared" si="4"/>
        <v>0.4250962636825471</v>
      </c>
      <c r="AG24" s="14">
        <f t="shared" si="4"/>
        <v>0.40703640266201274</v>
      </c>
      <c r="AH24" s="14">
        <f t="shared" si="4"/>
        <v>0.39034182587508376</v>
      </c>
      <c r="AI24" s="14">
        <f t="shared" si="4"/>
        <v>0.37507261964420086</v>
      </c>
      <c r="AJ24" s="14">
        <f t="shared" si="4"/>
        <v>0.36121015848008947</v>
      </c>
      <c r="AK24" s="14">
        <f t="shared" si="4"/>
        <v>0.34868795150659149</v>
      </c>
      <c r="AL24" s="14">
        <f t="shared" si="4"/>
        <v>0.33741284757998169</v>
      </c>
      <c r="AM24" s="14">
        <f t="shared" si="4"/>
        <v>0.32727926571309102</v>
      </c>
      <c r="AN24" s="14">
        <f t="shared" si="4"/>
        <v>0.31817846604716432</v>
      </c>
    </row>
    <row r="25" spans="3:40" x14ac:dyDescent="0.15">
      <c r="C25" s="8">
        <v>12</v>
      </c>
      <c r="D25" s="2">
        <v>12</v>
      </c>
      <c r="E25" s="8"/>
      <c r="F25" s="13" t="s">
        <v>32</v>
      </c>
      <c r="G25" s="6">
        <v>0.3</v>
      </c>
      <c r="H25" s="8"/>
      <c r="I25" s="2">
        <f t="shared" si="1"/>
        <v>12</v>
      </c>
      <c r="J25" s="8"/>
      <c r="K25" s="6">
        <v>0.02</v>
      </c>
      <c r="L25" s="8"/>
      <c r="M25" s="8"/>
      <c r="N25" s="8"/>
      <c r="O25" s="8"/>
      <c r="P25" s="4">
        <f t="shared" si="2"/>
        <v>1.0688702530384497</v>
      </c>
      <c r="Q25" s="4">
        <f t="shared" si="2"/>
        <v>1.1610395925155002</v>
      </c>
      <c r="R25" s="4">
        <f t="shared" si="2"/>
        <v>1.2725512862304353</v>
      </c>
      <c r="S25" s="4">
        <f t="shared" si="2"/>
        <v>1.4056578837673728</v>
      </c>
      <c r="T25" s="4">
        <f t="shared" si="2"/>
        <v>1.5618205562494187</v>
      </c>
      <c r="U25" s="4">
        <f t="shared" si="2"/>
        <v>1.7408796401503461</v>
      </c>
      <c r="V25" s="4">
        <f t="shared" si="2"/>
        <v>1.9397416616618992</v>
      </c>
      <c r="W25" s="4">
        <f t="shared" si="2"/>
        <v>2.1503460409647936</v>
      </c>
      <c r="X25" s="4">
        <f t="shared" si="2"/>
        <v>2.3565681655171118</v>
      </c>
      <c r="Y25" s="4">
        <f t="shared" si="2"/>
        <v>2.5295634688326962</v>
      </c>
      <c r="Z25" s="8"/>
      <c r="AA25" s="8"/>
      <c r="AB25" s="5" t="s">
        <v>32</v>
      </c>
      <c r="AC25" s="8"/>
      <c r="AD25" s="14">
        <f t="shared" si="4"/>
        <v>0.40416096936733986</v>
      </c>
      <c r="AE25" s="14">
        <f t="shared" si="4"/>
        <v>0.38562061274370008</v>
      </c>
      <c r="AF25" s="14">
        <f t="shared" si="4"/>
        <v>0.36863528824252806</v>
      </c>
      <c r="AG25" s="14">
        <f t="shared" si="4"/>
        <v>0.35323580402805066</v>
      </c>
      <c r="AH25" s="14">
        <f t="shared" si="4"/>
        <v>0.3393753298480473</v>
      </c>
      <c r="AI25" s="14">
        <f t="shared" si="4"/>
        <v>0.32696161832504667</v>
      </c>
      <c r="AJ25" s="14">
        <f t="shared" si="4"/>
        <v>0.31587881924688987</v>
      </c>
      <c r="AK25" s="14">
        <f t="shared" si="4"/>
        <v>0.30600185958314646</v>
      </c>
      <c r="AL25" s="14">
        <f t="shared" si="4"/>
        <v>0.29720559853423678</v>
      </c>
      <c r="AM25" s="14">
        <f t="shared" si="4"/>
        <v>0.2893703704001202</v>
      </c>
      <c r="AN25" s="14">
        <f t="shared" si="4"/>
        <v>0.28238507596834139</v>
      </c>
    </row>
    <row r="26" spans="3:40" x14ac:dyDescent="0.15">
      <c r="C26" s="8">
        <v>13</v>
      </c>
      <c r="D26" s="2">
        <v>13</v>
      </c>
      <c r="E26" s="8"/>
      <c r="F26" s="13" t="s">
        <v>33</v>
      </c>
      <c r="G26" s="6">
        <v>0.3</v>
      </c>
      <c r="H26" s="8"/>
      <c r="I26" s="2">
        <f t="shared" si="1"/>
        <v>13</v>
      </c>
      <c r="J26" s="8"/>
      <c r="K26" s="6">
        <v>0.02</v>
      </c>
      <c r="L26" s="8"/>
      <c r="M26" s="8"/>
      <c r="N26" s="8"/>
      <c r="O26" s="8"/>
      <c r="P26" s="4">
        <f t="shared" si="2"/>
        <v>0.99350771596416365</v>
      </c>
      <c r="Q26" s="4">
        <f t="shared" si="2"/>
        <v>1.0688702530384497</v>
      </c>
      <c r="R26" s="4">
        <f t="shared" si="2"/>
        <v>1.1610395925155002</v>
      </c>
      <c r="S26" s="4">
        <f t="shared" si="2"/>
        <v>1.2725512862304353</v>
      </c>
      <c r="T26" s="4">
        <f t="shared" si="2"/>
        <v>1.4056578837673728</v>
      </c>
      <c r="U26" s="4">
        <f t="shared" si="2"/>
        <v>1.5618205562494187</v>
      </c>
      <c r="V26" s="4">
        <f t="shared" si="2"/>
        <v>1.7408796401503461</v>
      </c>
      <c r="W26" s="4">
        <f t="shared" si="2"/>
        <v>1.9397416616618992</v>
      </c>
      <c r="X26" s="4">
        <f t="shared" si="2"/>
        <v>2.1503460409647936</v>
      </c>
      <c r="Y26" s="4">
        <f t="shared" si="2"/>
        <v>2.3565681655171118</v>
      </c>
      <c r="Z26" s="8"/>
      <c r="AA26" s="8"/>
      <c r="AB26" s="5" t="s">
        <v>33</v>
      </c>
      <c r="AC26" s="8"/>
      <c r="AD26" s="14">
        <f t="shared" si="4"/>
        <v>0.35098491488981459</v>
      </c>
      <c r="AE26" s="14">
        <f t="shared" si="4"/>
        <v>0.33549872151565935</v>
      </c>
      <c r="AF26" s="14">
        <f t="shared" si="4"/>
        <v>0.32164731373619437</v>
      </c>
      <c r="AG26" s="14">
        <f t="shared" si="4"/>
        <v>0.30932452254875148</v>
      </c>
      <c r="AH26" s="14">
        <f t="shared" si="4"/>
        <v>0.29840011573879205</v>
      </c>
      <c r="AI26" s="14">
        <f t="shared" si="4"/>
        <v>0.28873532941603591</v>
      </c>
      <c r="AJ26" s="14">
        <f t="shared" si="4"/>
        <v>0.28019263863660465</v>
      </c>
      <c r="AK26" s="14">
        <f t="shared" si="4"/>
        <v>0.27264156994623995</v>
      </c>
      <c r="AL26" s="14">
        <f t="shared" si="4"/>
        <v>0.26596184699936093</v>
      </c>
      <c r="AM26" s="14">
        <f t="shared" si="4"/>
        <v>0.26004478226375255</v>
      </c>
      <c r="AN26" s="14">
        <f t="shared" si="4"/>
        <v>0.25479355183859487</v>
      </c>
    </row>
    <row r="27" spans="3:40" x14ac:dyDescent="0.15">
      <c r="C27" s="8">
        <v>14</v>
      </c>
      <c r="D27" s="2">
        <v>14</v>
      </c>
      <c r="E27" s="8"/>
      <c r="F27" s="13" t="s">
        <v>34</v>
      </c>
      <c r="G27" s="6">
        <v>0.3</v>
      </c>
      <c r="H27" s="8"/>
      <c r="I27" s="2">
        <f t="shared" si="1"/>
        <v>14</v>
      </c>
      <c r="J27" s="8"/>
      <c r="K27" s="6">
        <v>0.02</v>
      </c>
      <c r="L27" s="8"/>
      <c r="M27" s="8"/>
      <c r="N27" s="8"/>
      <c r="O27" s="8"/>
      <c r="P27" s="4">
        <f t="shared" si="2"/>
        <v>0.93243144071740436</v>
      </c>
      <c r="Q27" s="4">
        <f t="shared" si="2"/>
        <v>0.99350771596416365</v>
      </c>
      <c r="R27" s="4">
        <f t="shared" si="2"/>
        <v>1.0688702530384497</v>
      </c>
      <c r="S27" s="4">
        <f t="shared" si="2"/>
        <v>1.1610395925155002</v>
      </c>
      <c r="T27" s="4">
        <f t="shared" si="2"/>
        <v>1.2725512862304353</v>
      </c>
      <c r="U27" s="4">
        <f t="shared" si="2"/>
        <v>1.4056578837673728</v>
      </c>
      <c r="V27" s="4">
        <f t="shared" si="2"/>
        <v>1.5618205562494187</v>
      </c>
      <c r="W27" s="4">
        <f t="shared" si="2"/>
        <v>1.7408796401503461</v>
      </c>
      <c r="X27" s="4">
        <f t="shared" si="2"/>
        <v>1.9397416616618992</v>
      </c>
      <c r="Y27" s="4">
        <f t="shared" si="2"/>
        <v>2.1503460409647936</v>
      </c>
      <c r="Z27" s="8"/>
      <c r="AA27" s="8"/>
      <c r="AB27" s="5" t="s">
        <v>34</v>
      </c>
      <c r="AC27" s="8"/>
      <c r="AD27" s="14">
        <f t="shared" si="4"/>
        <v>0.30831417158846297</v>
      </c>
      <c r="AE27" s="14">
        <f t="shared" si="4"/>
        <v>0.29596463850776777</v>
      </c>
      <c r="AF27" s="14">
        <f t="shared" si="4"/>
        <v>0.28507891940640634</v>
      </c>
      <c r="AG27" s="14">
        <f t="shared" si="4"/>
        <v>0.27550846752412789</v>
      </c>
      <c r="AH27" s="14">
        <f t="shared" si="4"/>
        <v>0.26710567992355982</v>
      </c>
      <c r="AI27" s="14">
        <f t="shared" si="4"/>
        <v>0.25973051920093654</v>
      </c>
      <c r="AJ27" s="14">
        <f t="shared" si="4"/>
        <v>0.25325408678862099</v>
      </c>
      <c r="AK27" s="14">
        <f t="shared" si="4"/>
        <v>0.24756019697215084</v>
      </c>
      <c r="AL27" s="14">
        <f t="shared" si="4"/>
        <v>0.2425456824103262</v>
      </c>
      <c r="AM27" s="14">
        <f t="shared" si="4"/>
        <v>0.23811993237099754</v>
      </c>
      <c r="AN27" s="14">
        <f t="shared" si="4"/>
        <v>0.23420400111956147</v>
      </c>
    </row>
    <row r="28" spans="3:40" x14ac:dyDescent="0.15">
      <c r="C28" s="8">
        <v>15</v>
      </c>
      <c r="D28" s="2">
        <v>15</v>
      </c>
      <c r="E28" s="8"/>
      <c r="F28" s="13" t="s">
        <v>35</v>
      </c>
      <c r="G28" s="6">
        <v>0.3</v>
      </c>
      <c r="H28" s="8"/>
      <c r="I28" s="2">
        <f t="shared" si="1"/>
        <v>15</v>
      </c>
      <c r="J28" s="8"/>
      <c r="K28" s="6">
        <v>0.02</v>
      </c>
      <c r="L28" s="8"/>
      <c r="M28" s="8"/>
      <c r="N28" s="8"/>
      <c r="O28" s="8"/>
      <c r="P28" s="4">
        <f t="shared" si="2"/>
        <v>0.88329844288099801</v>
      </c>
      <c r="Q28" s="4">
        <f t="shared" si="2"/>
        <v>0.93243144071740436</v>
      </c>
      <c r="R28" s="4">
        <f t="shared" si="2"/>
        <v>0.99350771596416365</v>
      </c>
      <c r="S28" s="4">
        <f t="shared" si="2"/>
        <v>1.0688702530384497</v>
      </c>
      <c r="T28" s="4">
        <f t="shared" si="2"/>
        <v>1.1610395925155002</v>
      </c>
      <c r="U28" s="4">
        <f t="shared" si="2"/>
        <v>1.2725512862304353</v>
      </c>
      <c r="V28" s="4">
        <f t="shared" si="2"/>
        <v>1.4056578837673728</v>
      </c>
      <c r="W28" s="4">
        <f t="shared" si="2"/>
        <v>1.5618205562494187</v>
      </c>
      <c r="X28" s="4">
        <f t="shared" si="2"/>
        <v>1.7408796401503461</v>
      </c>
      <c r="Y28" s="4">
        <f t="shared" si="2"/>
        <v>1.9397416616618992</v>
      </c>
      <c r="Z28" s="8"/>
      <c r="AA28" s="8"/>
      <c r="AB28" s="5" t="s">
        <v>35</v>
      </c>
      <c r="AC28" s="8"/>
      <c r="AD28" s="14">
        <f t="shared" si="4"/>
        <v>0.27541345444736287</v>
      </c>
      <c r="AE28" s="14">
        <f t="shared" si="4"/>
        <v>0.26579538961495863</v>
      </c>
      <c r="AF28" s="14">
        <f t="shared" si="4"/>
        <v>0.25739947389473095</v>
      </c>
      <c r="AG28" s="14">
        <f t="shared" si="4"/>
        <v>0.25007677255627214</v>
      </c>
      <c r="AH28" s="14">
        <f t="shared" si="4"/>
        <v>0.24368974983610645</v>
      </c>
      <c r="AI28" s="14">
        <f t="shared" si="4"/>
        <v>0.23811430840779976</v>
      </c>
      <c r="AJ28" s="14">
        <f t="shared" si="4"/>
        <v>0.23324031184409036</v>
      </c>
      <c r="AK28" s="14">
        <f t="shared" si="4"/>
        <v>0.22897118476592507</v>
      </c>
      <c r="AL28" s="14">
        <f t="shared" si="4"/>
        <v>0.22522299139449489</v>
      </c>
      <c r="AM28" s="14">
        <f t="shared" si="4"/>
        <v>0.22192325635257379</v>
      </c>
      <c r="AN28" s="14">
        <f t="shared" si="4"/>
        <v>0.21900969630997541</v>
      </c>
    </row>
    <row r="29" spans="3:40" x14ac:dyDescent="0.15">
      <c r="C29" s="8">
        <v>16</v>
      </c>
      <c r="D29" s="2">
        <v>16</v>
      </c>
      <c r="E29" s="8"/>
      <c r="F29" s="13" t="s">
        <v>36</v>
      </c>
      <c r="G29" s="6">
        <v>0.3</v>
      </c>
      <c r="H29" s="8"/>
      <c r="I29" s="2">
        <f t="shared" si="1"/>
        <v>16</v>
      </c>
      <c r="J29" s="8"/>
      <c r="K29" s="6">
        <v>0.02</v>
      </c>
      <c r="L29" s="8"/>
      <c r="M29" s="8"/>
      <c r="N29" s="8"/>
      <c r="O29" s="8"/>
      <c r="P29" s="4">
        <f t="shared" si="2"/>
        <v>0.84402057335785052</v>
      </c>
      <c r="Q29" s="4">
        <f t="shared" si="2"/>
        <v>0.88329844288099801</v>
      </c>
      <c r="R29" s="4">
        <f t="shared" si="2"/>
        <v>0.93243144071740436</v>
      </c>
      <c r="S29" s="4">
        <f t="shared" si="2"/>
        <v>0.99350771596416365</v>
      </c>
      <c r="T29" s="4">
        <f t="shared" si="2"/>
        <v>1.0688702530384497</v>
      </c>
      <c r="U29" s="4">
        <f t="shared" si="2"/>
        <v>1.1610395925155002</v>
      </c>
      <c r="V29" s="4">
        <f t="shared" si="2"/>
        <v>1.2725512862304353</v>
      </c>
      <c r="W29" s="4">
        <f t="shared" si="2"/>
        <v>1.4056578837673728</v>
      </c>
      <c r="X29" s="4">
        <f t="shared" si="2"/>
        <v>1.5618205562494187</v>
      </c>
      <c r="Y29" s="4">
        <f t="shared" si="2"/>
        <v>1.7408796401503461</v>
      </c>
      <c r="Z29" s="8"/>
      <c r="AA29" s="8"/>
      <c r="AB29" s="5" t="s">
        <v>36</v>
      </c>
      <c r="AC29" s="8"/>
      <c r="AD29" s="14">
        <f t="shared" si="4"/>
        <v>0.25049879075453868</v>
      </c>
      <c r="AE29" s="14">
        <f t="shared" si="4"/>
        <v>0.24310257454094097</v>
      </c>
      <c r="AF29" s="14">
        <f t="shared" si="4"/>
        <v>0.23669027304837775</v>
      </c>
      <c r="AG29" s="14">
        <f t="shared" si="4"/>
        <v>0.23112927881614181</v>
      </c>
      <c r="AH29" s="14">
        <f t="shared" si="4"/>
        <v>0.22630164534559255</v>
      </c>
      <c r="AI29" s="14">
        <f t="shared" si="4"/>
        <v>0.22210389508657746</v>
      </c>
      <c r="AJ29" s="14">
        <f t="shared" si="4"/>
        <v>0.21844615757831276</v>
      </c>
      <c r="AK29" s="14">
        <f t="shared" si="4"/>
        <v>0.21525096228714172</v>
      </c>
      <c r="AL29" s="14">
        <f t="shared" si="4"/>
        <v>0.21245189472547055</v>
      </c>
      <c r="AM29" s="14">
        <f t="shared" si="4"/>
        <v>0.20999224480734005</v>
      </c>
      <c r="AN29" s="14">
        <f t="shared" si="4"/>
        <v>0.20782372271776994</v>
      </c>
    </row>
    <row r="30" spans="3:40" x14ac:dyDescent="0.15">
      <c r="C30" s="8">
        <v>17</v>
      </c>
      <c r="D30" s="2">
        <v>17</v>
      </c>
      <c r="E30" s="8"/>
      <c r="F30" s="13" t="s">
        <v>37</v>
      </c>
      <c r="G30" s="6">
        <v>0.3</v>
      </c>
      <c r="H30" s="8"/>
      <c r="I30" s="2">
        <f t="shared" si="1"/>
        <v>17</v>
      </c>
      <c r="J30" s="8"/>
      <c r="K30" s="6">
        <v>0.02</v>
      </c>
      <c r="L30" s="8"/>
      <c r="M30" s="8"/>
      <c r="N30" s="8"/>
      <c r="O30" s="8"/>
      <c r="P30" s="4">
        <f t="shared" si="2"/>
        <v>0.81278981146203921</v>
      </c>
      <c r="Q30" s="4">
        <f t="shared" si="2"/>
        <v>0.84402057335785052</v>
      </c>
      <c r="R30" s="4">
        <f t="shared" si="2"/>
        <v>0.88329844288099801</v>
      </c>
      <c r="S30" s="4">
        <f t="shared" si="2"/>
        <v>0.93243144071740436</v>
      </c>
      <c r="T30" s="4">
        <f t="shared" si="2"/>
        <v>0.99350771596416365</v>
      </c>
      <c r="U30" s="4">
        <f t="shared" si="2"/>
        <v>1.0688702530384497</v>
      </c>
      <c r="V30" s="4">
        <f t="shared" si="2"/>
        <v>1.1610395925155002</v>
      </c>
      <c r="W30" s="4">
        <f t="shared" si="2"/>
        <v>1.2725512862304353</v>
      </c>
      <c r="X30" s="4">
        <f t="shared" si="2"/>
        <v>1.4056578837673728</v>
      </c>
      <c r="Y30" s="4">
        <f t="shared" si="2"/>
        <v>1.5618205562494187</v>
      </c>
      <c r="Z30" s="8"/>
      <c r="AA30" s="8"/>
      <c r="AB30" s="5" t="s">
        <v>37</v>
      </c>
      <c r="AC30" s="8"/>
      <c r="AD30" s="14">
        <f t="shared" si="4"/>
        <v>0.23178177656889851</v>
      </c>
      <c r="AE30" s="14">
        <f t="shared" si="4"/>
        <v>0.22613341188432698</v>
      </c>
      <c r="AF30" s="14">
        <f t="shared" si="4"/>
        <v>0.22126099249402861</v>
      </c>
      <c r="AG30" s="14">
        <f t="shared" si="4"/>
        <v>0.21705310936873379</v>
      </c>
      <c r="AH30" s="14">
        <f t="shared" si="4"/>
        <v>0.2134128964704754</v>
      </c>
      <c r="AI30" s="14">
        <f t="shared" si="4"/>
        <v>0.21025686628621848</v>
      </c>
      <c r="AJ30" s="14">
        <f t="shared" si="4"/>
        <v>0.20751352857332583</v>
      </c>
      <c r="AK30" s="14">
        <f t="shared" si="4"/>
        <v>0.20512195860644927</v>
      </c>
      <c r="AL30" s="14">
        <f t="shared" si="4"/>
        <v>0.20303041394323229</v>
      </c>
      <c r="AM30" s="14">
        <f t="shared" si="4"/>
        <v>0.2011950541182887</v>
      </c>
      <c r="AN30" s="14">
        <f t="shared" si="4"/>
        <v>0.19957878884699243</v>
      </c>
    </row>
    <row r="31" spans="3:40" x14ac:dyDescent="0.15">
      <c r="C31" s="8">
        <v>18</v>
      </c>
      <c r="D31" s="2">
        <v>18</v>
      </c>
      <c r="E31" s="8"/>
      <c r="F31" s="13" t="s">
        <v>38</v>
      </c>
      <c r="G31" s="6">
        <v>0.3</v>
      </c>
      <c r="H31" s="8"/>
      <c r="I31" s="2">
        <f t="shared" si="1"/>
        <v>18</v>
      </c>
      <c r="J31" s="8"/>
      <c r="K31" s="6">
        <v>0.02</v>
      </c>
      <c r="L31" s="8"/>
      <c r="M31" s="8"/>
      <c r="N31" s="8"/>
      <c r="O31" s="8"/>
      <c r="P31" s="4">
        <f t="shared" si="2"/>
        <v>0.78807332838094701</v>
      </c>
      <c r="Q31" s="4">
        <f t="shared" si="2"/>
        <v>0.81278981146203921</v>
      </c>
      <c r="R31" s="4">
        <f t="shared" si="2"/>
        <v>0.84402057335785052</v>
      </c>
      <c r="S31" s="4">
        <f t="shared" si="2"/>
        <v>0.88329844288099801</v>
      </c>
      <c r="T31" s="4">
        <f t="shared" si="2"/>
        <v>0.93243144071740436</v>
      </c>
      <c r="U31" s="4">
        <f t="shared" si="2"/>
        <v>0.99350771596416365</v>
      </c>
      <c r="V31" s="4">
        <f t="shared" si="2"/>
        <v>1.0688702530384497</v>
      </c>
      <c r="W31" s="4">
        <f t="shared" si="2"/>
        <v>1.1610395925155002</v>
      </c>
      <c r="X31" s="4">
        <f t="shared" si="2"/>
        <v>1.2725512862304353</v>
      </c>
      <c r="Y31" s="4">
        <f t="shared" si="2"/>
        <v>1.4056578837673728</v>
      </c>
      <c r="Z31" s="8"/>
      <c r="AA31" s="8"/>
      <c r="AB31" s="5" t="s">
        <v>38</v>
      </c>
      <c r="AC31" s="8"/>
      <c r="AD31" s="14">
        <f t="shared" si="4"/>
        <v>0.2177637022115341</v>
      </c>
      <c r="AE31" s="14">
        <f t="shared" si="4"/>
        <v>0.2134663414228479</v>
      </c>
      <c r="AF31" s="14">
        <f t="shared" si="4"/>
        <v>0.20977346697992028</v>
      </c>
      <c r="AG31" s="14">
        <f t="shared" si="4"/>
        <v>0.20659447221423083</v>
      </c>
      <c r="AH31" s="14">
        <f t="shared" si="4"/>
        <v>0.20385175469837061</v>
      </c>
      <c r="AI31" s="14">
        <f t="shared" si="4"/>
        <v>0.20147923345987159</v>
      </c>
      <c r="AJ31" s="14">
        <f t="shared" si="4"/>
        <v>0.19942087766129063</v>
      </c>
      <c r="AK31" s="14">
        <f t="shared" si="4"/>
        <v>0.19762932286468182</v>
      </c>
      <c r="AL31" s="14">
        <f t="shared" si="4"/>
        <v>0.19606461360482971</v>
      </c>
      <c r="AM31" s="14">
        <f t="shared" si="4"/>
        <v>0.19469308732662691</v>
      </c>
      <c r="AN31" s="14">
        <f t="shared" si="4"/>
        <v>0.19348640034999789</v>
      </c>
    </row>
    <row r="32" spans="3:40" x14ac:dyDescent="0.15">
      <c r="C32" s="8">
        <v>19</v>
      </c>
      <c r="D32" s="2">
        <v>19</v>
      </c>
      <c r="E32" s="8"/>
      <c r="F32" s="13" t="s">
        <v>39</v>
      </c>
      <c r="G32" s="6">
        <v>0.3</v>
      </c>
      <c r="H32" s="8"/>
      <c r="I32" s="2">
        <f t="shared" si="1"/>
        <v>19</v>
      </c>
      <c r="J32" s="8"/>
      <c r="K32" s="6">
        <v>0.02</v>
      </c>
      <c r="L32" s="8"/>
      <c r="M32" s="8"/>
      <c r="N32" s="8"/>
      <c r="O32" s="8"/>
      <c r="P32" s="4">
        <f t="shared" si="2"/>
        <v>0.76859229187816103</v>
      </c>
      <c r="Q32" s="4">
        <f t="shared" si="2"/>
        <v>0.78807332838094701</v>
      </c>
      <c r="R32" s="4">
        <f t="shared" si="2"/>
        <v>0.81278981146203921</v>
      </c>
      <c r="S32" s="4">
        <f t="shared" si="2"/>
        <v>0.84402057335785052</v>
      </c>
      <c r="T32" s="4">
        <f t="shared" si="2"/>
        <v>0.88329844288099801</v>
      </c>
      <c r="U32" s="4">
        <f t="shared" si="2"/>
        <v>0.93243144071740436</v>
      </c>
      <c r="V32" s="4">
        <f t="shared" si="2"/>
        <v>0.99350771596416365</v>
      </c>
      <c r="W32" s="4">
        <f t="shared" si="2"/>
        <v>1.0688702530384497</v>
      </c>
      <c r="X32" s="4">
        <f t="shared" si="2"/>
        <v>1.1610395925155002</v>
      </c>
      <c r="Y32" s="4">
        <f t="shared" si="2"/>
        <v>1.2725512862304353</v>
      </c>
      <c r="Z32" s="8"/>
      <c r="AA32" s="8"/>
      <c r="AB32" s="5" t="s">
        <v>39</v>
      </c>
      <c r="AC32" s="8"/>
      <c r="AD32" s="14">
        <f t="shared" si="4"/>
        <v>0.20727149619159108</v>
      </c>
      <c r="AE32" s="14">
        <f t="shared" si="4"/>
        <v>0.2040086105062611</v>
      </c>
      <c r="AF32" s="14">
        <f t="shared" si="4"/>
        <v>0.20121312116706133</v>
      </c>
      <c r="AG32" s="14">
        <f t="shared" si="4"/>
        <v>0.19881276486195143</v>
      </c>
      <c r="AH32" s="14">
        <f t="shared" si="4"/>
        <v>0.19674630113847022</v>
      </c>
      <c r="AI32" s="14">
        <f t="shared" si="4"/>
        <v>0.19496203182914615</v>
      </c>
      <c r="AJ32" s="14">
        <f t="shared" si="4"/>
        <v>0.19341643518012505</v>
      </c>
      <c r="AK32" s="14">
        <f t="shared" si="4"/>
        <v>0.192072941510948</v>
      </c>
      <c r="AL32" s="14">
        <f t="shared" si="4"/>
        <v>0.19090085764991993</v>
      </c>
      <c r="AM32" s="14">
        <f t="shared" si="4"/>
        <v>0.18987443582990124</v>
      </c>
      <c r="AN32" s="14">
        <f t="shared" si="4"/>
        <v>0.18897207641604682</v>
      </c>
    </row>
    <row r="33" spans="3:40" x14ac:dyDescent="0.15">
      <c r="C33" s="8">
        <v>20</v>
      </c>
      <c r="D33" s="2">
        <v>20</v>
      </c>
      <c r="E33" s="8"/>
      <c r="F33" s="13" t="s">
        <v>40</v>
      </c>
      <c r="G33" s="6">
        <v>0.3</v>
      </c>
      <c r="H33" s="8"/>
      <c r="I33" s="2">
        <f t="shared" si="1"/>
        <v>20</v>
      </c>
      <c r="J33" s="8"/>
      <c r="K33" s="6">
        <v>0.02</v>
      </c>
      <c r="L33" s="8"/>
      <c r="M33" s="8"/>
      <c r="N33" s="8"/>
      <c r="O33" s="8"/>
      <c r="P33" s="4">
        <f t="shared" si="2"/>
        <v>0.75329317179832667</v>
      </c>
      <c r="Q33" s="4">
        <f t="shared" si="2"/>
        <v>0.76859229187816103</v>
      </c>
      <c r="R33" s="4">
        <f t="shared" si="2"/>
        <v>0.78807332838094701</v>
      </c>
      <c r="S33" s="4">
        <f t="shared" si="2"/>
        <v>0.81278981146203921</v>
      </c>
      <c r="T33" s="4">
        <f t="shared" si="2"/>
        <v>0.84402057335785052</v>
      </c>
      <c r="U33" s="4">
        <f t="shared" si="2"/>
        <v>0.88329844288099801</v>
      </c>
      <c r="V33" s="4">
        <f t="shared" si="2"/>
        <v>0.93243144071740436</v>
      </c>
      <c r="W33" s="4">
        <f t="shared" si="2"/>
        <v>0.99350771596416365</v>
      </c>
      <c r="X33" s="4">
        <f t="shared" si="2"/>
        <v>1.0688702530384497</v>
      </c>
      <c r="Y33" s="4">
        <f t="shared" si="2"/>
        <v>1.1610395925155002</v>
      </c>
      <c r="Z33" s="8"/>
      <c r="AA33" s="8"/>
      <c r="AB33" s="5" t="s">
        <v>40</v>
      </c>
      <c r="AC33" s="8"/>
      <c r="AD33" s="14">
        <f t="shared" si="4"/>
        <v>0.19941437403369078</v>
      </c>
      <c r="AE33" s="14">
        <f t="shared" si="4"/>
        <v>0.19693965262546706</v>
      </c>
      <c r="AF33" s="14">
        <f t="shared" si="4"/>
        <v>0.19482461692705955</v>
      </c>
      <c r="AG33" s="14">
        <f t="shared" si="4"/>
        <v>0.19301233885960195</v>
      </c>
      <c r="AH33" s="14">
        <f t="shared" si="4"/>
        <v>0.19145494850392319</v>
      </c>
      <c r="AI33" s="14">
        <f t="shared" si="4"/>
        <v>0.19011229656011602</v>
      </c>
      <c r="AJ33" s="14">
        <f t="shared" si="4"/>
        <v>0.18895076800258659</v>
      </c>
      <c r="AK33" s="14">
        <f t="shared" si="4"/>
        <v>0.18794224833557513</v>
      </c>
      <c r="AL33" s="14">
        <f t="shared" si="4"/>
        <v>0.18706323452007084</v>
      </c>
      <c r="AM33" s="14">
        <f t="shared" si="4"/>
        <v>0.18629407782184071</v>
      </c>
      <c r="AN33" s="14">
        <f t="shared" si="4"/>
        <v>0.18561834384340373</v>
      </c>
    </row>
    <row r="34" spans="3:40" x14ac:dyDescent="0.15">
      <c r="C34" s="8">
        <v>21</v>
      </c>
      <c r="D34" s="2">
        <v>21</v>
      </c>
      <c r="E34" s="8"/>
      <c r="F34" s="13" t="s">
        <v>41</v>
      </c>
      <c r="G34" s="6">
        <v>0.3</v>
      </c>
      <c r="H34" s="8"/>
      <c r="I34" s="2">
        <f t="shared" si="1"/>
        <v>21</v>
      </c>
      <c r="J34" s="8"/>
      <c r="K34" s="6">
        <v>0.02</v>
      </c>
      <c r="L34" s="8"/>
      <c r="M34" s="8"/>
      <c r="N34" s="8"/>
      <c r="O34" s="8"/>
      <c r="P34" s="4">
        <f t="shared" si="2"/>
        <v>0.74131685748315035</v>
      </c>
      <c r="Q34" s="4">
        <f t="shared" si="2"/>
        <v>0.75329317179832667</v>
      </c>
      <c r="R34" s="4">
        <f t="shared" si="2"/>
        <v>0.76859229187816103</v>
      </c>
      <c r="S34" s="4">
        <f t="shared" si="2"/>
        <v>0.78807332838094701</v>
      </c>
      <c r="T34" s="4">
        <f t="shared" si="2"/>
        <v>0.81278981146203921</v>
      </c>
      <c r="U34" s="4">
        <f t="shared" si="2"/>
        <v>0.84402057335785052</v>
      </c>
      <c r="V34" s="4">
        <f t="shared" si="2"/>
        <v>0.88329844288099801</v>
      </c>
      <c r="W34" s="4">
        <f t="shared" si="2"/>
        <v>0.93243144071740436</v>
      </c>
      <c r="X34" s="4">
        <f t="shared" si="2"/>
        <v>0.99350771596416365</v>
      </c>
      <c r="Y34" s="4">
        <f t="shared" si="2"/>
        <v>1.0688702530384497</v>
      </c>
      <c r="Z34" s="8"/>
      <c r="AA34" s="8"/>
      <c r="AB34" s="5" t="s">
        <v>41</v>
      </c>
      <c r="AC34" s="8"/>
      <c r="AD34" s="14">
        <f t="shared" si="4"/>
        <v>0.19352498229212656</v>
      </c>
      <c r="AE34" s="14">
        <f t="shared" si="4"/>
        <v>0.19164921077949401</v>
      </c>
      <c r="AF34" s="14">
        <f t="shared" si="4"/>
        <v>0.190049367698893</v>
      </c>
      <c r="AG34" s="14">
        <f t="shared" si="4"/>
        <v>0.18868096833498935</v>
      </c>
      <c r="AH34" s="14">
        <f t="shared" si="4"/>
        <v>0.18750682925069581</v>
      </c>
      <c r="AI34" s="14">
        <f t="shared" si="4"/>
        <v>0.18649592170726778</v>
      </c>
      <c r="AJ34" s="14">
        <f t="shared" si="4"/>
        <v>0.1856223791513861</v>
      </c>
      <c r="AK34" s="14">
        <f t="shared" si="4"/>
        <v>0.18486464820357315</v>
      </c>
      <c r="AL34" s="14">
        <f t="shared" si="4"/>
        <v>0.18420476892478005</v>
      </c>
      <c r="AM34" s="14">
        <f t="shared" si="4"/>
        <v>0.1836277689026046</v>
      </c>
      <c r="AN34" s="14">
        <f t="shared" si="4"/>
        <v>0.18312115589949843</v>
      </c>
    </row>
    <row r="35" spans="3:40" x14ac:dyDescent="0.15">
      <c r="C35" s="8">
        <v>22</v>
      </c>
      <c r="D35" s="2">
        <v>22</v>
      </c>
      <c r="E35" s="8"/>
      <c r="F35" s="13" t="s">
        <v>42</v>
      </c>
      <c r="G35" s="6">
        <v>0.3</v>
      </c>
      <c r="H35" s="8"/>
      <c r="I35" s="2">
        <f t="shared" si="1"/>
        <v>22</v>
      </c>
      <c r="J35" s="8"/>
      <c r="K35" s="6">
        <v>0.02</v>
      </c>
      <c r="L35" s="8"/>
      <c r="M35" s="8"/>
      <c r="N35" s="8"/>
      <c r="O35" s="8"/>
      <c r="P35" s="4">
        <f t="shared" si="2"/>
        <v>0.73196864888237545</v>
      </c>
      <c r="Q35" s="4">
        <f t="shared" si="2"/>
        <v>0.74131685748315035</v>
      </c>
      <c r="R35" s="4">
        <f t="shared" si="2"/>
        <v>0.75329317179832667</v>
      </c>
      <c r="S35" s="4">
        <f t="shared" si="2"/>
        <v>0.76859229187816103</v>
      </c>
      <c r="T35" s="4">
        <f t="shared" si="2"/>
        <v>0.78807332838094701</v>
      </c>
      <c r="U35" s="4">
        <f t="shared" si="2"/>
        <v>0.81278981146203921</v>
      </c>
      <c r="V35" s="4">
        <f t="shared" si="2"/>
        <v>0.84402057335785052</v>
      </c>
      <c r="W35" s="4">
        <f t="shared" si="2"/>
        <v>0.88329844288099801</v>
      </c>
      <c r="X35" s="4">
        <f t="shared" si="2"/>
        <v>0.93243144071740436</v>
      </c>
      <c r="Y35" s="4">
        <f t="shared" si="2"/>
        <v>0.99350771596416365</v>
      </c>
      <c r="Z35" s="8"/>
      <c r="AA35" s="8"/>
      <c r="AB35" s="5" t="s">
        <v>42</v>
      </c>
      <c r="AC35" s="8"/>
      <c r="AD35" s="14">
        <f t="shared" si="4"/>
        <v>0.18910596496003451</v>
      </c>
      <c r="AE35" s="14">
        <f t="shared" si="4"/>
        <v>0.18768475408745791</v>
      </c>
      <c r="AF35" s="14">
        <f t="shared" si="4"/>
        <v>0.18647475120578408</v>
      </c>
      <c r="AG35" s="14">
        <f t="shared" si="4"/>
        <v>0.18544138951380795</v>
      </c>
      <c r="AH35" s="14">
        <f t="shared" si="4"/>
        <v>0.18455591292278506</v>
      </c>
      <c r="AI35" s="14">
        <f t="shared" si="4"/>
        <v>0.18379442317869862</v>
      </c>
      <c r="AJ35" s="14">
        <f t="shared" si="4"/>
        <v>0.18313706847617747</v>
      </c>
      <c r="AK35" s="14">
        <f t="shared" si="4"/>
        <v>0.18256735832473106</v>
      </c>
      <c r="AL35" s="14">
        <f t="shared" si="4"/>
        <v>0.18207158877459342</v>
      </c>
      <c r="AM35" s="14">
        <f t="shared" si="4"/>
        <v>0.18163836266836586</v>
      </c>
      <c r="AN35" s="14">
        <f t="shared" si="4"/>
        <v>0.18125819079213948</v>
      </c>
    </row>
    <row r="36" spans="3:40" x14ac:dyDescent="0.15">
      <c r="C36" s="8">
        <v>23</v>
      </c>
      <c r="D36" s="2">
        <v>23</v>
      </c>
      <c r="E36" s="8"/>
      <c r="F36" s="13" t="s">
        <v>43</v>
      </c>
      <c r="G36" s="6">
        <v>0.3</v>
      </c>
      <c r="H36" s="8"/>
      <c r="I36" s="2">
        <f t="shared" si="1"/>
        <v>23</v>
      </c>
      <c r="J36" s="8"/>
      <c r="K36" s="6">
        <v>0.02</v>
      </c>
      <c r="L36" s="8"/>
      <c r="M36" s="8"/>
      <c r="N36" s="8"/>
      <c r="O36" s="8"/>
      <c r="P36" s="4">
        <f t="shared" si="2"/>
        <v>0.72469074301168845</v>
      </c>
      <c r="Q36" s="4">
        <f t="shared" si="2"/>
        <v>0.73196864888237545</v>
      </c>
      <c r="R36" s="4">
        <f t="shared" si="2"/>
        <v>0.74131685748315035</v>
      </c>
      <c r="S36" s="4">
        <f t="shared" si="2"/>
        <v>0.75329317179832667</v>
      </c>
      <c r="T36" s="4">
        <f t="shared" si="2"/>
        <v>0.76859229187816103</v>
      </c>
      <c r="U36" s="4">
        <f t="shared" si="2"/>
        <v>0.78807332838094701</v>
      </c>
      <c r="V36" s="4">
        <f t="shared" si="2"/>
        <v>0.81278981146203921</v>
      </c>
      <c r="W36" s="4">
        <f t="shared" si="2"/>
        <v>0.84402057335785052</v>
      </c>
      <c r="X36" s="4">
        <f t="shared" si="2"/>
        <v>0.88329844288099801</v>
      </c>
      <c r="Y36" s="4">
        <f t="shared" si="2"/>
        <v>0.93243144071740436</v>
      </c>
      <c r="Z36" s="8"/>
      <c r="AA36" s="8"/>
      <c r="AB36" s="5" t="s">
        <v>43</v>
      </c>
      <c r="AC36" s="8"/>
      <c r="AD36" s="14">
        <f t="shared" si="4"/>
        <v>0.18578706063508987</v>
      </c>
      <c r="AE36" s="14">
        <f t="shared" si="4"/>
        <v>0.18471059267340142</v>
      </c>
      <c r="AF36" s="14">
        <f t="shared" ref="AF36:AN36" si="5">rebonatoswaption($C36,$D36,$D36+AF$12,$G$11,$G$13:$G$48,$I$13:$I$48,$K$13:$K$48,$G$3,$G$4,$G$5,$G$6,$G$8)</f>
        <v>0.18379552413082437</v>
      </c>
      <c r="AG36" s="14">
        <f t="shared" si="5"/>
        <v>0.18301510440122878</v>
      </c>
      <c r="AH36" s="14">
        <f t="shared" si="5"/>
        <v>0.18234716659837394</v>
      </c>
      <c r="AI36" s="14">
        <f t="shared" si="5"/>
        <v>0.18177335122585039</v>
      </c>
      <c r="AJ36" s="14">
        <f t="shared" si="5"/>
        <v>0.18127845290543249</v>
      </c>
      <c r="AK36" s="14">
        <f t="shared" si="5"/>
        <v>0.18084987403417108</v>
      </c>
      <c r="AL36" s="14">
        <f t="shared" si="5"/>
        <v>0.18047717007378361</v>
      </c>
      <c r="AM36" s="14">
        <f t="shared" si="5"/>
        <v>0.18015167253920697</v>
      </c>
      <c r="AN36" s="14">
        <f t="shared" si="5"/>
        <v>0.17986617733428056</v>
      </c>
    </row>
    <row r="37" spans="3:40" x14ac:dyDescent="0.15">
      <c r="C37" s="8">
        <v>24</v>
      </c>
      <c r="D37" s="2">
        <v>24</v>
      </c>
      <c r="E37" s="8"/>
      <c r="F37" s="13" t="s">
        <v>44</v>
      </c>
      <c r="G37" s="6">
        <v>0.3</v>
      </c>
      <c r="H37" s="8"/>
      <c r="I37" s="2">
        <f t="shared" si="1"/>
        <v>24</v>
      </c>
      <c r="J37" s="8"/>
      <c r="K37" s="6">
        <v>0.02</v>
      </c>
      <c r="L37" s="8"/>
      <c r="M37" s="8"/>
      <c r="N37" s="8"/>
      <c r="O37" s="8"/>
      <c r="P37" s="4">
        <f t="shared" si="2"/>
        <v>0.71903793811360528</v>
      </c>
      <c r="Q37" s="4">
        <f t="shared" si="2"/>
        <v>0.72469074301168845</v>
      </c>
      <c r="R37" s="4">
        <f t="shared" si="2"/>
        <v>0.73196864888237545</v>
      </c>
      <c r="S37" s="4">
        <f t="shared" si="2"/>
        <v>0.74131685748315035</v>
      </c>
      <c r="T37" s="4">
        <f t="shared" si="2"/>
        <v>0.75329317179832667</v>
      </c>
      <c r="U37" s="4">
        <f t="shared" si="2"/>
        <v>0.76859229187816103</v>
      </c>
      <c r="V37" s="4">
        <f t="shared" si="2"/>
        <v>0.78807332838094701</v>
      </c>
      <c r="W37" s="4">
        <f t="shared" si="2"/>
        <v>0.81278981146203921</v>
      </c>
      <c r="X37" s="4">
        <f t="shared" si="2"/>
        <v>0.84402057335785052</v>
      </c>
      <c r="Y37" s="4">
        <f t="shared" si="2"/>
        <v>0.88329844288099801</v>
      </c>
      <c r="Z37" s="8"/>
      <c r="AA37" s="8"/>
      <c r="AB37" s="8"/>
      <c r="AC37" s="8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3:40" x14ac:dyDescent="0.15">
      <c r="C38" s="8">
        <v>25</v>
      </c>
      <c r="D38" s="2">
        <v>25</v>
      </c>
      <c r="E38" s="8"/>
      <c r="F38" s="13" t="s">
        <v>45</v>
      </c>
      <c r="G38" s="6">
        <v>0.3</v>
      </c>
      <c r="H38" s="8"/>
      <c r="I38" s="2">
        <f t="shared" si="1"/>
        <v>25</v>
      </c>
      <c r="J38" s="8"/>
      <c r="K38" s="6">
        <v>0.02</v>
      </c>
      <c r="L38" s="8"/>
      <c r="M38" s="8"/>
      <c r="N38" s="8"/>
      <c r="O38" s="8"/>
      <c r="P38" s="4">
        <f t="shared" si="2"/>
        <v>0.71465673580891753</v>
      </c>
      <c r="Q38" s="4">
        <f t="shared" si="2"/>
        <v>0.71903793811360528</v>
      </c>
      <c r="R38" s="4">
        <f t="shared" si="2"/>
        <v>0.72469074301168845</v>
      </c>
      <c r="S38" s="4">
        <f t="shared" si="2"/>
        <v>0.73196864888237545</v>
      </c>
      <c r="T38" s="4">
        <f t="shared" si="2"/>
        <v>0.74131685748315035</v>
      </c>
      <c r="U38" s="4">
        <f t="shared" ref="Q38:Y48" si="6">homovol($G$3,$G$4,$G$5,$G$6,U$12,$D38)</f>
        <v>0.75329317179832667</v>
      </c>
      <c r="V38" s="4">
        <f t="shared" si="6"/>
        <v>0.76859229187816103</v>
      </c>
      <c r="W38" s="4">
        <f t="shared" si="6"/>
        <v>0.78807332838094701</v>
      </c>
      <c r="X38" s="4">
        <f t="shared" si="6"/>
        <v>0.81278981146203921</v>
      </c>
      <c r="Y38" s="4">
        <f t="shared" si="6"/>
        <v>0.84402057335785052</v>
      </c>
      <c r="Z38" s="8"/>
      <c r="AA38" s="8"/>
      <c r="AB38" s="8"/>
      <c r="AC38" s="8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3:40" x14ac:dyDescent="0.15">
      <c r="C39" s="8">
        <v>26</v>
      </c>
      <c r="D39" s="2">
        <v>26</v>
      </c>
      <c r="E39" s="8"/>
      <c r="F39" s="13" t="s">
        <v>46</v>
      </c>
      <c r="G39" s="6">
        <v>0.3</v>
      </c>
      <c r="H39" s="8"/>
      <c r="I39" s="2">
        <f t="shared" si="1"/>
        <v>26</v>
      </c>
      <c r="J39" s="8"/>
      <c r="K39" s="6">
        <v>0.02</v>
      </c>
      <c r="L39" s="8"/>
      <c r="M39" s="8"/>
      <c r="N39" s="8"/>
      <c r="O39" s="8"/>
      <c r="P39" s="4">
        <f t="shared" si="2"/>
        <v>0.71126771192194405</v>
      </c>
      <c r="Q39" s="4">
        <f t="shared" si="6"/>
        <v>0.71465673580891753</v>
      </c>
      <c r="R39" s="4">
        <f t="shared" si="6"/>
        <v>0.71903793811360528</v>
      </c>
      <c r="S39" s="4">
        <f t="shared" si="6"/>
        <v>0.72469074301168845</v>
      </c>
      <c r="T39" s="4">
        <f t="shared" si="6"/>
        <v>0.73196864888237545</v>
      </c>
      <c r="U39" s="4">
        <f t="shared" si="6"/>
        <v>0.74131685748315035</v>
      </c>
      <c r="V39" s="4">
        <f t="shared" si="6"/>
        <v>0.75329317179832667</v>
      </c>
      <c r="W39" s="4">
        <f t="shared" si="6"/>
        <v>0.76859229187816103</v>
      </c>
      <c r="X39" s="4">
        <f t="shared" si="6"/>
        <v>0.78807332838094701</v>
      </c>
      <c r="Y39" s="4">
        <f t="shared" si="6"/>
        <v>0.81278981146203921</v>
      </c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3:40" x14ac:dyDescent="0.15">
      <c r="C40" s="8">
        <v>27</v>
      </c>
      <c r="D40" s="2">
        <v>27</v>
      </c>
      <c r="E40" s="8"/>
      <c r="F40" s="13" t="s">
        <v>47</v>
      </c>
      <c r="G40" s="6">
        <v>0.3</v>
      </c>
      <c r="H40" s="8"/>
      <c r="I40" s="2">
        <f t="shared" si="1"/>
        <v>27</v>
      </c>
      <c r="J40" s="8"/>
      <c r="K40" s="6">
        <v>0.02</v>
      </c>
      <c r="L40" s="8"/>
      <c r="M40" s="8"/>
      <c r="N40" s="8"/>
      <c r="O40" s="8"/>
      <c r="P40" s="4">
        <f t="shared" si="2"/>
        <v>0.70865086543524769</v>
      </c>
      <c r="Q40" s="4">
        <f t="shared" si="6"/>
        <v>0.71126771192194405</v>
      </c>
      <c r="R40" s="4">
        <f t="shared" si="6"/>
        <v>0.71465673580891753</v>
      </c>
      <c r="S40" s="4">
        <f t="shared" si="6"/>
        <v>0.71903793811360528</v>
      </c>
      <c r="T40" s="4">
        <f t="shared" si="6"/>
        <v>0.72469074301168845</v>
      </c>
      <c r="U40" s="4">
        <f t="shared" si="6"/>
        <v>0.73196864888237545</v>
      </c>
      <c r="V40" s="4">
        <f t="shared" si="6"/>
        <v>0.74131685748315035</v>
      </c>
      <c r="W40" s="4">
        <f t="shared" si="6"/>
        <v>0.75329317179832667</v>
      </c>
      <c r="X40" s="4">
        <f t="shared" si="6"/>
        <v>0.76859229187816103</v>
      </c>
      <c r="Y40" s="4">
        <f t="shared" si="6"/>
        <v>0.78807332838094701</v>
      </c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3:40" x14ac:dyDescent="0.15">
      <c r="C41" s="8">
        <v>28</v>
      </c>
      <c r="D41" s="2">
        <v>28</v>
      </c>
      <c r="E41" s="8"/>
      <c r="F41" s="13" t="s">
        <v>48</v>
      </c>
      <c r="G41" s="6">
        <v>0.3</v>
      </c>
      <c r="H41" s="8"/>
      <c r="I41" s="2">
        <f t="shared" si="1"/>
        <v>28</v>
      </c>
      <c r="J41" s="8"/>
      <c r="K41" s="6">
        <v>0.02</v>
      </c>
      <c r="L41" s="8"/>
      <c r="M41" s="8"/>
      <c r="N41" s="8"/>
      <c r="O41" s="8"/>
      <c r="P41" s="4">
        <f t="shared" si="2"/>
        <v>0.70663358606327598</v>
      </c>
      <c r="Q41" s="4">
        <f t="shared" si="6"/>
        <v>0.70865086543524769</v>
      </c>
      <c r="R41" s="4">
        <f t="shared" si="6"/>
        <v>0.71126771192194405</v>
      </c>
      <c r="S41" s="4">
        <f t="shared" si="6"/>
        <v>0.71465673580891753</v>
      </c>
      <c r="T41" s="4">
        <f t="shared" si="6"/>
        <v>0.71903793811360528</v>
      </c>
      <c r="U41" s="4">
        <f t="shared" si="6"/>
        <v>0.72469074301168845</v>
      </c>
      <c r="V41" s="4">
        <f t="shared" si="6"/>
        <v>0.73196864888237545</v>
      </c>
      <c r="W41" s="4">
        <f t="shared" si="6"/>
        <v>0.74131685748315035</v>
      </c>
      <c r="X41" s="4">
        <f t="shared" si="6"/>
        <v>0.75329317179832667</v>
      </c>
      <c r="Y41" s="4">
        <f t="shared" si="6"/>
        <v>0.76859229187816103</v>
      </c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3:40" x14ac:dyDescent="0.15">
      <c r="C42" s="8">
        <v>29</v>
      </c>
      <c r="D42" s="2">
        <v>29</v>
      </c>
      <c r="E42" s="8"/>
      <c r="F42" s="13" t="s">
        <v>49</v>
      </c>
      <c r="G42" s="6">
        <v>0.3</v>
      </c>
      <c r="H42" s="8"/>
      <c r="I42" s="2">
        <f t="shared" si="1"/>
        <v>29</v>
      </c>
      <c r="J42" s="8"/>
      <c r="K42" s="6">
        <v>0.02</v>
      </c>
      <c r="L42" s="8"/>
      <c r="M42" s="8"/>
      <c r="N42" s="8"/>
      <c r="O42" s="8"/>
      <c r="P42" s="4">
        <f t="shared" si="2"/>
        <v>0.70508086723512275</v>
      </c>
      <c r="Q42" s="4">
        <f t="shared" si="6"/>
        <v>0.70663358606327598</v>
      </c>
      <c r="R42" s="4">
        <f t="shared" si="6"/>
        <v>0.70865086543524769</v>
      </c>
      <c r="S42" s="4">
        <f t="shared" si="6"/>
        <v>0.71126771192194405</v>
      </c>
      <c r="T42" s="4">
        <f t="shared" si="6"/>
        <v>0.71465673580891753</v>
      </c>
      <c r="U42" s="4">
        <f t="shared" si="6"/>
        <v>0.71903793811360528</v>
      </c>
      <c r="V42" s="4">
        <f t="shared" si="6"/>
        <v>0.72469074301168845</v>
      </c>
      <c r="W42" s="4">
        <f t="shared" si="6"/>
        <v>0.73196864888237545</v>
      </c>
      <c r="X42" s="4">
        <f t="shared" si="6"/>
        <v>0.74131685748315035</v>
      </c>
      <c r="Y42" s="4">
        <f t="shared" si="6"/>
        <v>0.75329317179832667</v>
      </c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3:40" x14ac:dyDescent="0.15">
      <c r="C43" s="8">
        <v>30</v>
      </c>
      <c r="D43" s="2">
        <v>30</v>
      </c>
      <c r="E43" s="8"/>
      <c r="F43" s="13" t="s">
        <v>50</v>
      </c>
      <c r="G43" s="6">
        <v>0.3</v>
      </c>
      <c r="H43" s="8"/>
      <c r="I43" s="2">
        <f t="shared" si="1"/>
        <v>30</v>
      </c>
      <c r="J43" s="8"/>
      <c r="K43" s="6">
        <v>0.02</v>
      </c>
      <c r="L43" s="8"/>
      <c r="M43" s="8"/>
      <c r="N43" s="8"/>
      <c r="O43" s="8"/>
      <c r="P43" s="4">
        <f t="shared" si="2"/>
        <v>0.70388740882873035</v>
      </c>
      <c r="Q43" s="4">
        <f t="shared" si="6"/>
        <v>0.70508086723512275</v>
      </c>
      <c r="R43" s="4">
        <f t="shared" si="6"/>
        <v>0.70663358606327598</v>
      </c>
      <c r="S43" s="4">
        <f t="shared" si="6"/>
        <v>0.70865086543524769</v>
      </c>
      <c r="T43" s="4">
        <f t="shared" si="6"/>
        <v>0.71126771192194405</v>
      </c>
      <c r="U43" s="4">
        <f t="shared" si="6"/>
        <v>0.71465673580891753</v>
      </c>
      <c r="V43" s="4">
        <f t="shared" si="6"/>
        <v>0.71903793811360528</v>
      </c>
      <c r="W43" s="4">
        <f t="shared" si="6"/>
        <v>0.72469074301168845</v>
      </c>
      <c r="X43" s="4">
        <f t="shared" si="6"/>
        <v>0.73196864888237545</v>
      </c>
      <c r="Y43" s="4">
        <f t="shared" si="6"/>
        <v>0.74131685748315035</v>
      </c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</row>
    <row r="44" spans="3:40" x14ac:dyDescent="0.15">
      <c r="C44" s="8">
        <v>31</v>
      </c>
      <c r="D44" s="2">
        <v>31</v>
      </c>
      <c r="E44" s="8"/>
      <c r="F44" s="13" t="s">
        <v>51</v>
      </c>
      <c r="G44" s="6">
        <v>0.3</v>
      </c>
      <c r="H44" s="8"/>
      <c r="I44" s="2">
        <f t="shared" si="1"/>
        <v>31</v>
      </c>
      <c r="J44" s="8"/>
      <c r="K44" s="6">
        <v>0.02</v>
      </c>
      <c r="L44" s="8"/>
      <c r="M44" s="8"/>
      <c r="N44" s="8"/>
      <c r="O44" s="8"/>
      <c r="P44" s="4">
        <f t="shared" si="2"/>
        <v>0.70297128752304061</v>
      </c>
      <c r="Q44" s="4">
        <f t="shared" si="6"/>
        <v>0.70388740882873035</v>
      </c>
      <c r="R44" s="4">
        <f t="shared" si="6"/>
        <v>0.70508086723512275</v>
      </c>
      <c r="S44" s="4">
        <f t="shared" si="6"/>
        <v>0.70663358606327598</v>
      </c>
      <c r="T44" s="4">
        <f t="shared" si="6"/>
        <v>0.70865086543524769</v>
      </c>
      <c r="U44" s="4">
        <f t="shared" si="6"/>
        <v>0.71126771192194405</v>
      </c>
      <c r="V44" s="4">
        <f t="shared" si="6"/>
        <v>0.71465673580891753</v>
      </c>
      <c r="W44" s="4">
        <f t="shared" si="6"/>
        <v>0.71903793811360528</v>
      </c>
      <c r="X44" s="4">
        <f t="shared" si="6"/>
        <v>0.72469074301168845</v>
      </c>
      <c r="Y44" s="4">
        <f t="shared" si="6"/>
        <v>0.73196864888237545</v>
      </c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</row>
    <row r="45" spans="3:40" x14ac:dyDescent="0.15">
      <c r="C45" s="8">
        <v>32</v>
      </c>
      <c r="D45" s="2">
        <v>32</v>
      </c>
      <c r="E45" s="8"/>
      <c r="F45" s="13" t="s">
        <v>52</v>
      </c>
      <c r="G45" s="6">
        <v>0.3</v>
      </c>
      <c r="H45" s="8"/>
      <c r="I45" s="2">
        <f t="shared" si="1"/>
        <v>32</v>
      </c>
      <c r="J45" s="8"/>
      <c r="K45" s="6">
        <v>0.02</v>
      </c>
      <c r="L45" s="8"/>
      <c r="M45" s="8"/>
      <c r="N45" s="8"/>
      <c r="O45" s="8"/>
      <c r="P45" s="4">
        <f t="shared" si="2"/>
        <v>0.70226891267244351</v>
      </c>
      <c r="Q45" s="4">
        <f t="shared" si="6"/>
        <v>0.70297128752304061</v>
      </c>
      <c r="R45" s="4">
        <f t="shared" si="6"/>
        <v>0.70388740882873035</v>
      </c>
      <c r="S45" s="4">
        <f t="shared" si="6"/>
        <v>0.70508086723512275</v>
      </c>
      <c r="T45" s="4">
        <f t="shared" si="6"/>
        <v>0.70663358606327598</v>
      </c>
      <c r="U45" s="4">
        <f t="shared" si="6"/>
        <v>0.70865086543524769</v>
      </c>
      <c r="V45" s="4">
        <f t="shared" si="6"/>
        <v>0.71126771192194405</v>
      </c>
      <c r="W45" s="4">
        <f t="shared" si="6"/>
        <v>0.71465673580891753</v>
      </c>
      <c r="X45" s="4">
        <f t="shared" si="6"/>
        <v>0.71903793811360528</v>
      </c>
      <c r="Y45" s="4">
        <f t="shared" si="6"/>
        <v>0.72469074301168845</v>
      </c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</row>
    <row r="46" spans="3:40" x14ac:dyDescent="0.15">
      <c r="C46" s="8">
        <v>33</v>
      </c>
      <c r="D46" s="2">
        <v>33</v>
      </c>
      <c r="E46" s="8"/>
      <c r="F46" s="13" t="s">
        <v>53</v>
      </c>
      <c r="G46" s="6">
        <v>0.3</v>
      </c>
      <c r="H46" s="8"/>
      <c r="I46" s="2">
        <f t="shared" si="1"/>
        <v>33</v>
      </c>
      <c r="J46" s="8"/>
      <c r="K46" s="6">
        <v>0.02</v>
      </c>
      <c r="L46" s="8"/>
      <c r="M46" s="8"/>
      <c r="N46" s="8"/>
      <c r="O46" s="8"/>
      <c r="P46" s="4">
        <f t="shared" si="2"/>
        <v>0.701731026530938</v>
      </c>
      <c r="Q46" s="4">
        <f t="shared" si="6"/>
        <v>0.70226891267244351</v>
      </c>
      <c r="R46" s="4">
        <f t="shared" si="6"/>
        <v>0.70297128752304061</v>
      </c>
      <c r="S46" s="4">
        <f t="shared" si="6"/>
        <v>0.70388740882873035</v>
      </c>
      <c r="T46" s="4">
        <f t="shared" si="6"/>
        <v>0.70508086723512275</v>
      </c>
      <c r="U46" s="4">
        <f t="shared" si="6"/>
        <v>0.70663358606327598</v>
      </c>
      <c r="V46" s="4">
        <f t="shared" si="6"/>
        <v>0.70865086543524769</v>
      </c>
      <c r="W46" s="4">
        <f t="shared" si="6"/>
        <v>0.71126771192194405</v>
      </c>
      <c r="X46" s="4">
        <f t="shared" si="6"/>
        <v>0.71465673580891753</v>
      </c>
      <c r="Y46" s="4">
        <f t="shared" si="6"/>
        <v>0.71903793811360528</v>
      </c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</row>
    <row r="47" spans="3:40" x14ac:dyDescent="0.15">
      <c r="C47" s="8">
        <v>34</v>
      </c>
      <c r="D47" s="2">
        <v>34</v>
      </c>
      <c r="E47" s="8"/>
      <c r="F47" s="13" t="s">
        <v>54</v>
      </c>
      <c r="G47" s="6">
        <v>0.3</v>
      </c>
      <c r="H47" s="8"/>
      <c r="I47" s="2">
        <f t="shared" si="1"/>
        <v>34</v>
      </c>
      <c r="J47" s="8"/>
      <c r="K47" s="6">
        <v>0.02</v>
      </c>
      <c r="L47" s="8"/>
      <c r="M47" s="8"/>
      <c r="N47" s="8"/>
      <c r="O47" s="8"/>
      <c r="P47" s="4">
        <f t="shared" si="2"/>
        <v>0.70131954631328641</v>
      </c>
      <c r="Q47" s="4">
        <f t="shared" si="6"/>
        <v>0.701731026530938</v>
      </c>
      <c r="R47" s="4">
        <f t="shared" si="6"/>
        <v>0.70226891267244351</v>
      </c>
      <c r="S47" s="4">
        <f t="shared" si="6"/>
        <v>0.70297128752304061</v>
      </c>
      <c r="T47" s="4">
        <f t="shared" si="6"/>
        <v>0.70388740882873035</v>
      </c>
      <c r="U47" s="4">
        <f t="shared" si="6"/>
        <v>0.70508086723512275</v>
      </c>
      <c r="V47" s="4">
        <f t="shared" si="6"/>
        <v>0.70663358606327598</v>
      </c>
      <c r="W47" s="4">
        <f t="shared" si="6"/>
        <v>0.70865086543524769</v>
      </c>
      <c r="X47" s="4">
        <f t="shared" si="6"/>
        <v>0.71126771192194405</v>
      </c>
      <c r="Y47" s="4">
        <f t="shared" si="6"/>
        <v>0.71465673580891753</v>
      </c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</row>
    <row r="48" spans="3:40" x14ac:dyDescent="0.15">
      <c r="C48" s="8">
        <v>35</v>
      </c>
      <c r="D48" s="2">
        <v>35</v>
      </c>
      <c r="E48" s="8"/>
      <c r="F48" s="13" t="s">
        <v>55</v>
      </c>
      <c r="G48" s="6">
        <v>0.3</v>
      </c>
      <c r="H48" s="8"/>
      <c r="I48" s="2">
        <f t="shared" si="1"/>
        <v>35</v>
      </c>
      <c r="J48" s="8"/>
      <c r="K48" s="6">
        <v>0.02</v>
      </c>
      <c r="L48" s="8"/>
      <c r="M48" s="8"/>
      <c r="N48" s="8"/>
      <c r="O48" s="8"/>
      <c r="P48" s="4">
        <f t="shared" si="2"/>
        <v>0.70100508040126575</v>
      </c>
      <c r="Q48" s="4">
        <f t="shared" si="6"/>
        <v>0.70131954631328641</v>
      </c>
      <c r="R48" s="4">
        <f t="shared" si="6"/>
        <v>0.701731026530938</v>
      </c>
      <c r="S48" s="4">
        <f t="shared" si="6"/>
        <v>0.70226891267244351</v>
      </c>
      <c r="T48" s="4">
        <f t="shared" si="6"/>
        <v>0.70297128752304061</v>
      </c>
      <c r="U48" s="4">
        <f t="shared" si="6"/>
        <v>0.70388740882873035</v>
      </c>
      <c r="V48" s="4">
        <f t="shared" si="6"/>
        <v>0.70508086723512275</v>
      </c>
      <c r="W48" s="4">
        <f t="shared" si="6"/>
        <v>0.70663358606327598</v>
      </c>
      <c r="X48" s="4">
        <f t="shared" si="6"/>
        <v>0.70865086543524769</v>
      </c>
      <c r="Y48" s="4">
        <f t="shared" si="6"/>
        <v>0.71126771192194405</v>
      </c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2:DA161"/>
  <sheetViews>
    <sheetView tabSelected="1" zoomScaleNormal="100" workbookViewId="0">
      <selection activeCell="D7" sqref="D7"/>
    </sheetView>
  </sheetViews>
  <sheetFormatPr defaultColWidth="9.125" defaultRowHeight="12" x14ac:dyDescent="0.15"/>
  <cols>
    <col min="1" max="2" width="9.125" style="33"/>
    <col min="3" max="3" width="3.875" style="33" customWidth="1"/>
    <col min="4" max="4" width="6.75" style="33" bestFit="1" customWidth="1"/>
    <col min="5" max="5" width="12.625" style="33" bestFit="1" customWidth="1"/>
    <col min="6" max="6" width="9.875" style="33" bestFit="1" customWidth="1"/>
    <col min="7" max="7" width="4.625" style="33" bestFit="1" customWidth="1"/>
    <col min="8" max="8" width="8.625" style="33" bestFit="1" customWidth="1"/>
    <col min="9" max="9" width="26.875" style="33" customWidth="1"/>
    <col min="10" max="11" width="2" style="33" customWidth="1"/>
    <col min="12" max="41" width="4.875" style="33" bestFit="1" customWidth="1"/>
    <col min="42" max="43" width="9.125" style="33"/>
    <col min="44" max="44" width="12.25" style="33" bestFit="1" customWidth="1"/>
    <col min="45" max="45" width="10.375" style="33" bestFit="1" customWidth="1"/>
    <col min="46" max="46" width="5.625" style="33" bestFit="1" customWidth="1"/>
    <col min="47" max="47" width="4.375" style="33" bestFit="1" customWidth="1"/>
    <col min="48" max="48" width="5.625" style="33" bestFit="1" customWidth="1"/>
    <col min="49" max="49" width="2.25" style="33" bestFit="1" customWidth="1"/>
    <col min="50" max="50" width="5.625" style="33" bestFit="1" customWidth="1"/>
    <col min="51" max="51" width="4.375" style="33" bestFit="1" customWidth="1"/>
    <col min="52" max="52" width="5.625" style="33" bestFit="1" customWidth="1"/>
    <col min="53" max="53" width="2.25" style="33" bestFit="1" customWidth="1"/>
    <col min="54" max="54" width="5.625" style="33" bestFit="1" customWidth="1"/>
    <col min="55" max="55" width="4.375" style="33" bestFit="1" customWidth="1"/>
    <col min="56" max="56" width="5.625" style="33" bestFit="1" customWidth="1"/>
    <col min="57" max="57" width="2.25" style="33" bestFit="1" customWidth="1"/>
    <col min="58" max="58" width="5.625" style="33" bestFit="1" customWidth="1"/>
    <col min="59" max="59" width="4.375" style="33" bestFit="1" customWidth="1"/>
    <col min="60" max="60" width="5.625" style="33" bestFit="1" customWidth="1"/>
    <col min="61" max="61" width="2.25" style="33" bestFit="1" customWidth="1"/>
    <col min="62" max="62" width="5.625" style="33" bestFit="1" customWidth="1"/>
    <col min="63" max="63" width="4.375" style="33" bestFit="1" customWidth="1"/>
    <col min="64" max="64" width="5.625" style="33" bestFit="1" customWidth="1"/>
    <col min="65" max="65" width="2.25" style="33" bestFit="1" customWidth="1"/>
    <col min="66" max="66" width="5.625" style="33" bestFit="1" customWidth="1"/>
    <col min="67" max="67" width="4.375" style="33" bestFit="1" customWidth="1"/>
    <col min="68" max="68" width="5.625" style="33" bestFit="1" customWidth="1"/>
    <col min="69" max="69" width="2.25" style="33" bestFit="1" customWidth="1"/>
    <col min="70" max="70" width="5.625" style="33" bestFit="1" customWidth="1"/>
    <col min="71" max="71" width="4.375" style="33" bestFit="1" customWidth="1"/>
    <col min="72" max="72" width="5.625" style="33" bestFit="1" customWidth="1"/>
    <col min="73" max="73" width="2.25" style="33" bestFit="1" customWidth="1"/>
    <col min="74" max="74" width="5.625" style="33" bestFit="1" customWidth="1"/>
    <col min="75" max="75" width="4.375" style="33" bestFit="1" customWidth="1"/>
    <col min="76" max="76" width="5.625" style="33" bestFit="1" customWidth="1"/>
    <col min="77" max="77" width="2.25" style="33" bestFit="1" customWidth="1"/>
    <col min="78" max="78" width="5.625" style="33" bestFit="1" customWidth="1"/>
    <col min="79" max="79" width="4.375" style="33" bestFit="1" customWidth="1"/>
    <col min="80" max="80" width="5.625" style="33" bestFit="1" customWidth="1"/>
    <col min="81" max="81" width="2.25" style="33" bestFit="1" customWidth="1"/>
    <col min="82" max="82" width="5.625" style="33" bestFit="1" customWidth="1"/>
    <col min="83" max="83" width="4.375" style="33" bestFit="1" customWidth="1"/>
    <col min="84" max="84" width="5.625" style="33" bestFit="1" customWidth="1"/>
    <col min="85" max="85" width="3.375" style="33" bestFit="1" customWidth="1"/>
    <col min="86" max="86" width="6.75" style="33" bestFit="1" customWidth="1"/>
    <col min="87" max="87" width="5.625" style="33" bestFit="1" customWidth="1"/>
    <col min="88" max="88" width="6.75" style="33" bestFit="1" customWidth="1"/>
    <col min="89" max="89" width="3.375" style="33" bestFit="1" customWidth="1"/>
    <col min="90" max="90" width="6.75" style="33" bestFit="1" customWidth="1"/>
    <col min="91" max="91" width="5.625" style="33" bestFit="1" customWidth="1"/>
    <col min="92" max="92" width="6.75" style="33" bestFit="1" customWidth="1"/>
    <col min="93" max="93" width="3.375" style="33" bestFit="1" customWidth="1"/>
    <col min="94" max="94" width="6.75" style="33" bestFit="1" customWidth="1"/>
    <col min="95" max="95" width="5.625" style="33" bestFit="1" customWidth="1"/>
    <col min="96" max="96" width="6.75" style="33" bestFit="1" customWidth="1"/>
    <col min="97" max="97" width="3.375" style="33" bestFit="1" customWidth="1"/>
    <col min="98" max="98" width="6.75" style="33" bestFit="1" customWidth="1"/>
    <col min="99" max="99" width="5.625" style="33" bestFit="1" customWidth="1"/>
    <col min="100" max="100" width="6.75" style="33" bestFit="1" customWidth="1"/>
    <col min="101" max="101" width="3.375" style="33" bestFit="1" customWidth="1"/>
    <col min="102" max="102" width="6.75" style="33" bestFit="1" customWidth="1"/>
    <col min="103" max="16384" width="9.125" style="33"/>
  </cols>
  <sheetData>
    <row r="2" spans="4:105" ht="12.75" thickBot="1" x14ac:dyDescent="0.2"/>
    <row r="3" spans="4:105" ht="12.75" thickBot="1" x14ac:dyDescent="0.2">
      <c r="E3" s="34" t="s">
        <v>61</v>
      </c>
      <c r="F3" s="35">
        <v>30</v>
      </c>
      <c r="H3" s="36" t="s">
        <v>62</v>
      </c>
      <c r="I3" s="35">
        <v>240</v>
      </c>
    </row>
    <row r="4" spans="4:105" ht="12.75" thickBot="1" x14ac:dyDescent="0.2"/>
    <row r="5" spans="4:105" ht="12.75" thickBot="1" x14ac:dyDescent="0.2">
      <c r="E5" s="37" t="s">
        <v>63</v>
      </c>
      <c r="F5" s="38">
        <v>0.5</v>
      </c>
      <c r="H5" s="36" t="s">
        <v>5</v>
      </c>
      <c r="I5" s="35">
        <v>0.2</v>
      </c>
    </row>
    <row r="6" spans="4:105" ht="12.75" thickBot="1" x14ac:dyDescent="0.2">
      <c r="AR6" s="36" t="s">
        <v>64</v>
      </c>
      <c r="AS6" s="35">
        <v>57</v>
      </c>
    </row>
    <row r="8" spans="4:105" x14ac:dyDescent="0.15">
      <c r="CY8" s="39"/>
      <c r="CZ8" s="39"/>
      <c r="DA8" s="39"/>
    </row>
    <row r="9" spans="4:105" x14ac:dyDescent="0.15">
      <c r="D9" s="33" t="s">
        <v>83</v>
      </c>
      <c r="E9" s="33" t="s">
        <v>84</v>
      </c>
      <c r="G9" s="33" t="s">
        <v>67</v>
      </c>
      <c r="I9" s="33" t="s">
        <v>82</v>
      </c>
      <c r="CY9" s="39"/>
      <c r="CZ9" s="39"/>
      <c r="DA9" s="39"/>
    </row>
    <row r="10" spans="4:105" ht="24.75" thickBot="1" x14ac:dyDescent="0.2">
      <c r="E10" s="37" t="s">
        <v>65</v>
      </c>
      <c r="F10" s="37" t="s">
        <v>66</v>
      </c>
      <c r="G10" s="37" t="s">
        <v>67</v>
      </c>
      <c r="H10" s="37" t="s">
        <v>68</v>
      </c>
      <c r="I10" s="40" t="s">
        <v>89</v>
      </c>
      <c r="L10" s="41" t="s">
        <v>90</v>
      </c>
      <c r="AS10" s="42" t="s">
        <v>85</v>
      </c>
      <c r="CY10" s="39"/>
      <c r="CZ10" s="39"/>
      <c r="DA10" s="39"/>
    </row>
    <row r="11" spans="4:105" x14ac:dyDescent="0.15">
      <c r="D11" s="38">
        <v>0</v>
      </c>
      <c r="E11" s="43">
        <v>0</v>
      </c>
      <c r="F11" s="38">
        <f>E11+$F$5</f>
        <v>0.5</v>
      </c>
      <c r="G11" s="43">
        <f>F11-E11</f>
        <v>0.5</v>
      </c>
      <c r="H11" s="44">
        <v>0.03</v>
      </c>
      <c r="I11" s="45">
        <f>I12*(1+G11*H11)</f>
        <v>1.5630802204908509</v>
      </c>
      <c r="J11" s="46"/>
      <c r="L11" s="47">
        <v>0.3</v>
      </c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9"/>
      <c r="AS11" s="43">
        <v>0</v>
      </c>
      <c r="AT11" s="50">
        <v>0.25</v>
      </c>
      <c r="AU11" s="43">
        <v>0.5</v>
      </c>
      <c r="AV11" s="43">
        <v>0.75</v>
      </c>
      <c r="AW11" s="43">
        <v>1</v>
      </c>
      <c r="AX11" s="43">
        <v>1.25</v>
      </c>
      <c r="AY11" s="43">
        <v>1.5</v>
      </c>
      <c r="AZ11" s="43">
        <v>1.75</v>
      </c>
      <c r="BA11" s="43">
        <v>2</v>
      </c>
      <c r="BB11" s="43">
        <v>2.25</v>
      </c>
      <c r="BC11" s="43">
        <v>2.5</v>
      </c>
      <c r="BD11" s="43">
        <v>2.75</v>
      </c>
      <c r="BE11" s="43">
        <v>3</v>
      </c>
      <c r="BF11" s="43">
        <v>3.25</v>
      </c>
      <c r="BG11" s="43">
        <v>3.5</v>
      </c>
      <c r="BH11" s="43">
        <v>3.75</v>
      </c>
      <c r="BI11" s="43">
        <v>4</v>
      </c>
      <c r="BJ11" s="43">
        <v>4.25</v>
      </c>
      <c r="BK11" s="43">
        <v>4.5</v>
      </c>
      <c r="BL11" s="43">
        <v>4.75</v>
      </c>
      <c r="BM11" s="43">
        <v>5</v>
      </c>
      <c r="BN11" s="43">
        <v>5.25</v>
      </c>
      <c r="BO11" s="43">
        <v>5.5</v>
      </c>
      <c r="BP11" s="43">
        <v>5.75</v>
      </c>
      <c r="BQ11" s="43">
        <v>6</v>
      </c>
      <c r="BR11" s="43">
        <v>6.25</v>
      </c>
      <c r="BS11" s="43">
        <v>6.5</v>
      </c>
      <c r="BT11" s="43">
        <v>6.75</v>
      </c>
      <c r="BU11" s="43">
        <v>7</v>
      </c>
      <c r="BV11" s="43">
        <v>7.25</v>
      </c>
      <c r="BW11" s="43">
        <v>7.5</v>
      </c>
      <c r="BX11" s="43">
        <v>7.75</v>
      </c>
      <c r="BY11" s="43">
        <v>8</v>
      </c>
      <c r="BZ11" s="43">
        <v>8.25</v>
      </c>
      <c r="CA11" s="43">
        <v>8.5</v>
      </c>
      <c r="CB11" s="43">
        <v>8.75</v>
      </c>
      <c r="CC11" s="43">
        <v>9</v>
      </c>
      <c r="CD11" s="43">
        <v>9.25</v>
      </c>
      <c r="CE11" s="43">
        <v>9.5</v>
      </c>
      <c r="CF11" s="43">
        <v>9.75</v>
      </c>
      <c r="CG11" s="43">
        <v>10</v>
      </c>
      <c r="CH11" s="43">
        <v>10.25</v>
      </c>
      <c r="CI11" s="43">
        <v>10.5</v>
      </c>
      <c r="CJ11" s="43">
        <v>10.75</v>
      </c>
      <c r="CK11" s="43">
        <v>11</v>
      </c>
      <c r="CL11" s="43">
        <v>11.25</v>
      </c>
      <c r="CM11" s="43">
        <v>11.5</v>
      </c>
      <c r="CN11" s="43">
        <v>11.75</v>
      </c>
      <c r="CO11" s="43">
        <v>12</v>
      </c>
      <c r="CP11" s="43">
        <v>12.25</v>
      </c>
      <c r="CQ11" s="43">
        <v>12.5</v>
      </c>
      <c r="CR11" s="43">
        <v>12.75</v>
      </c>
      <c r="CS11" s="43">
        <v>13</v>
      </c>
      <c r="CT11" s="43">
        <v>13.25</v>
      </c>
      <c r="CU11" s="43">
        <v>13.5</v>
      </c>
      <c r="CV11" s="43">
        <v>13.75</v>
      </c>
      <c r="CW11" s="43">
        <v>14</v>
      </c>
      <c r="CX11" s="43">
        <v>14.25</v>
      </c>
      <c r="CY11" s="43">
        <v>14.5</v>
      </c>
      <c r="CZ11" s="43">
        <v>14.75</v>
      </c>
      <c r="DA11" s="43">
        <v>15</v>
      </c>
    </row>
    <row r="12" spans="4:105" x14ac:dyDescent="0.15">
      <c r="D12" s="38">
        <v>1</v>
      </c>
      <c r="E12" s="43">
        <v>0.5</v>
      </c>
      <c r="F12" s="38">
        <f t="shared" ref="F12:F40" si="0">E12+$F$5</f>
        <v>1</v>
      </c>
      <c r="G12" s="43">
        <f t="shared" ref="G12:G40" si="1">F12-E12</f>
        <v>0.5</v>
      </c>
      <c r="H12" s="44">
        <v>0.03</v>
      </c>
      <c r="I12" s="45">
        <f t="shared" ref="I12:I40" si="2">I13*(1+G12*H12)</f>
        <v>1.5399805127988682</v>
      </c>
      <c r="J12" s="46"/>
      <c r="L12" s="51">
        <v>0.3</v>
      </c>
      <c r="M12" s="52">
        <v>0.3</v>
      </c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53"/>
      <c r="AS12" s="54">
        <v>0.2</v>
      </c>
      <c r="CY12" s="39"/>
      <c r="CZ12" s="39"/>
      <c r="DA12" s="39"/>
    </row>
    <row r="13" spans="4:105" x14ac:dyDescent="0.15">
      <c r="D13" s="38">
        <v>2</v>
      </c>
      <c r="E13" s="43">
        <v>1</v>
      </c>
      <c r="F13" s="38">
        <f t="shared" si="0"/>
        <v>1.5</v>
      </c>
      <c r="G13" s="43">
        <f t="shared" si="1"/>
        <v>0.5</v>
      </c>
      <c r="H13" s="44">
        <v>0.03</v>
      </c>
      <c r="I13" s="45">
        <f t="shared" si="2"/>
        <v>1.5172221800974073</v>
      </c>
      <c r="J13" s="46"/>
      <c r="L13" s="51">
        <v>0.3</v>
      </c>
      <c r="M13" s="52">
        <v>0.3</v>
      </c>
      <c r="N13" s="52">
        <v>0.3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53"/>
      <c r="AS13" s="54">
        <v>0.4</v>
      </c>
      <c r="CY13" s="39"/>
      <c r="CZ13" s="39"/>
      <c r="DA13" s="39"/>
    </row>
    <row r="14" spans="4:105" x14ac:dyDescent="0.15">
      <c r="D14" s="38">
        <v>3</v>
      </c>
      <c r="E14" s="43">
        <v>1.5</v>
      </c>
      <c r="F14" s="38">
        <f t="shared" si="0"/>
        <v>2</v>
      </c>
      <c r="G14" s="43">
        <f t="shared" si="1"/>
        <v>0.5</v>
      </c>
      <c r="H14" s="44">
        <v>0.03</v>
      </c>
      <c r="I14" s="45">
        <f t="shared" si="2"/>
        <v>1.4948001774358695</v>
      </c>
      <c r="J14" s="46"/>
      <c r="L14" s="51">
        <v>0.3</v>
      </c>
      <c r="M14" s="52">
        <v>0.3</v>
      </c>
      <c r="N14" s="52">
        <v>0.3</v>
      </c>
      <c r="O14" s="52">
        <v>0.3</v>
      </c>
      <c r="P14" s="52"/>
      <c r="Q14" s="52"/>
      <c r="R14" s="52"/>
      <c r="S14" s="52"/>
      <c r="T14" s="52"/>
      <c r="U14" s="52"/>
      <c r="V14" s="52"/>
      <c r="W14" s="52"/>
      <c r="X14" s="52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53"/>
      <c r="AS14" s="54">
        <v>0.60000000000000009</v>
      </c>
      <c r="CY14" s="39"/>
      <c r="CZ14" s="39"/>
      <c r="DA14" s="39"/>
    </row>
    <row r="15" spans="4:105" x14ac:dyDescent="0.15">
      <c r="D15" s="38">
        <v>4</v>
      </c>
      <c r="E15" s="43">
        <v>2</v>
      </c>
      <c r="F15" s="38">
        <f t="shared" si="0"/>
        <v>2.5</v>
      </c>
      <c r="G15" s="43">
        <f t="shared" si="1"/>
        <v>0.5</v>
      </c>
      <c r="H15" s="44">
        <v>0.03</v>
      </c>
      <c r="I15" s="45">
        <f>I16*(1+G15*H15)</f>
        <v>1.472709534419576</v>
      </c>
      <c r="J15" s="46"/>
      <c r="L15" s="51">
        <v>0.3</v>
      </c>
      <c r="M15" s="52">
        <v>0.3</v>
      </c>
      <c r="N15" s="52">
        <v>0.3</v>
      </c>
      <c r="O15" s="52">
        <v>0.3</v>
      </c>
      <c r="P15" s="52">
        <v>0.3</v>
      </c>
      <c r="Q15" s="52"/>
      <c r="R15" s="52"/>
      <c r="S15" s="52"/>
      <c r="T15" s="52"/>
      <c r="U15" s="52"/>
      <c r="V15" s="52"/>
      <c r="W15" s="52"/>
      <c r="X15" s="52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53"/>
      <c r="AS15" s="54">
        <v>0.8</v>
      </c>
      <c r="CY15" s="39"/>
      <c r="CZ15" s="39"/>
      <c r="DA15" s="39"/>
    </row>
    <row r="16" spans="4:105" x14ac:dyDescent="0.15">
      <c r="D16" s="38">
        <v>5</v>
      </c>
      <c r="E16" s="43">
        <v>2.5</v>
      </c>
      <c r="F16" s="38">
        <f t="shared" si="0"/>
        <v>3</v>
      </c>
      <c r="G16" s="43">
        <f t="shared" si="1"/>
        <v>0.5</v>
      </c>
      <c r="H16" s="44">
        <v>0.03</v>
      </c>
      <c r="I16" s="45">
        <f t="shared" si="2"/>
        <v>1.4509453541079567</v>
      </c>
      <c r="J16" s="46"/>
      <c r="L16" s="51">
        <v>0.3</v>
      </c>
      <c r="M16" s="52">
        <v>0.3</v>
      </c>
      <c r="N16" s="52">
        <v>0.3</v>
      </c>
      <c r="O16" s="52">
        <v>0.3</v>
      </c>
      <c r="P16" s="52">
        <v>0.3</v>
      </c>
      <c r="Q16" s="52">
        <v>0.3</v>
      </c>
      <c r="R16" s="52"/>
      <c r="S16" s="52"/>
      <c r="T16" s="52"/>
      <c r="U16" s="52"/>
      <c r="V16" s="52"/>
      <c r="W16" s="52"/>
      <c r="X16" s="52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53"/>
      <c r="AS16" s="54">
        <v>1</v>
      </c>
    </row>
    <row r="17" spans="4:45" x14ac:dyDescent="0.15">
      <c r="D17" s="38">
        <v>6</v>
      </c>
      <c r="E17" s="43">
        <v>3</v>
      </c>
      <c r="F17" s="38">
        <f t="shared" si="0"/>
        <v>3.5</v>
      </c>
      <c r="G17" s="43">
        <f t="shared" si="1"/>
        <v>0.5</v>
      </c>
      <c r="H17" s="44">
        <v>0.03</v>
      </c>
      <c r="I17" s="45">
        <f t="shared" si="2"/>
        <v>1.4295028119290214</v>
      </c>
      <c r="J17" s="46"/>
      <c r="L17" s="51">
        <v>0.3</v>
      </c>
      <c r="M17" s="52">
        <v>0.3</v>
      </c>
      <c r="N17" s="52">
        <v>0.3</v>
      </c>
      <c r="O17" s="52">
        <v>0.3</v>
      </c>
      <c r="P17" s="52">
        <v>0.3</v>
      </c>
      <c r="Q17" s="52">
        <v>0.3</v>
      </c>
      <c r="R17" s="52">
        <v>0.3</v>
      </c>
      <c r="S17" s="52"/>
      <c r="T17" s="52"/>
      <c r="U17" s="52"/>
      <c r="V17" s="52"/>
      <c r="W17" s="52"/>
      <c r="X17" s="52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53"/>
      <c r="AS17" s="54">
        <v>1.2000000000000002</v>
      </c>
    </row>
    <row r="18" spans="4:45" x14ac:dyDescent="0.15">
      <c r="D18" s="38">
        <v>7</v>
      </c>
      <c r="E18" s="43">
        <v>3.5</v>
      </c>
      <c r="F18" s="38">
        <f t="shared" si="0"/>
        <v>4</v>
      </c>
      <c r="G18" s="43">
        <f t="shared" si="1"/>
        <v>0.5</v>
      </c>
      <c r="H18" s="44">
        <v>0.03</v>
      </c>
      <c r="I18" s="45">
        <f t="shared" si="2"/>
        <v>1.4083771546098733</v>
      </c>
      <c r="J18" s="46"/>
      <c r="L18" s="51">
        <v>0.3</v>
      </c>
      <c r="M18" s="52">
        <v>0.3</v>
      </c>
      <c r="N18" s="52">
        <v>0.3</v>
      </c>
      <c r="O18" s="52">
        <v>0.3</v>
      </c>
      <c r="P18" s="52">
        <v>0.3</v>
      </c>
      <c r="Q18" s="52">
        <v>0.3</v>
      </c>
      <c r="R18" s="52">
        <v>0.3</v>
      </c>
      <c r="S18" s="52">
        <v>0.3</v>
      </c>
      <c r="T18" s="52"/>
      <c r="U18" s="52"/>
      <c r="V18" s="52"/>
      <c r="W18" s="52"/>
      <c r="X18" s="52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53"/>
      <c r="AS18" s="54">
        <v>1.4</v>
      </c>
    </row>
    <row r="19" spans="4:45" x14ac:dyDescent="0.15">
      <c r="D19" s="38">
        <v>8</v>
      </c>
      <c r="E19" s="43">
        <v>4</v>
      </c>
      <c r="F19" s="38">
        <f t="shared" si="0"/>
        <v>4.5</v>
      </c>
      <c r="G19" s="43">
        <f t="shared" si="1"/>
        <v>0.5</v>
      </c>
      <c r="H19" s="44">
        <v>0.03</v>
      </c>
      <c r="I19" s="45">
        <f t="shared" si="2"/>
        <v>1.387563699123028</v>
      </c>
      <c r="J19" s="46"/>
      <c r="L19" s="51">
        <v>0.3</v>
      </c>
      <c r="M19" s="52">
        <v>0.3</v>
      </c>
      <c r="N19" s="52">
        <v>0.3</v>
      </c>
      <c r="O19" s="52">
        <v>0.3</v>
      </c>
      <c r="P19" s="52">
        <v>0.3</v>
      </c>
      <c r="Q19" s="52">
        <v>0.3</v>
      </c>
      <c r="R19" s="52">
        <v>0.3</v>
      </c>
      <c r="S19" s="52">
        <v>0.3</v>
      </c>
      <c r="T19" s="52">
        <v>0.3</v>
      </c>
      <c r="U19" s="52"/>
      <c r="V19" s="52"/>
      <c r="W19" s="52"/>
      <c r="X19" s="52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53"/>
      <c r="AS19" s="54">
        <v>1.6</v>
      </c>
    </row>
    <row r="20" spans="4:45" x14ac:dyDescent="0.15">
      <c r="D20" s="38">
        <v>9</v>
      </c>
      <c r="E20" s="43">
        <v>4.5</v>
      </c>
      <c r="F20" s="38">
        <f t="shared" si="0"/>
        <v>5</v>
      </c>
      <c r="G20" s="43">
        <f t="shared" si="1"/>
        <v>0.5</v>
      </c>
      <c r="H20" s="44">
        <v>0.03</v>
      </c>
      <c r="I20" s="45">
        <f t="shared" si="2"/>
        <v>1.3670578316483035</v>
      </c>
      <c r="J20" s="46"/>
      <c r="L20" s="51">
        <v>0.3</v>
      </c>
      <c r="M20" s="52">
        <v>0.3</v>
      </c>
      <c r="N20" s="52">
        <v>0.3</v>
      </c>
      <c r="O20" s="52">
        <v>0.3</v>
      </c>
      <c r="P20" s="52">
        <v>0.3</v>
      </c>
      <c r="Q20" s="52">
        <v>0.3</v>
      </c>
      <c r="R20" s="52">
        <v>0.3</v>
      </c>
      <c r="S20" s="52">
        <v>0.3</v>
      </c>
      <c r="T20" s="52">
        <v>0.3</v>
      </c>
      <c r="U20" s="52">
        <v>0.3</v>
      </c>
      <c r="V20" s="52"/>
      <c r="W20" s="52"/>
      <c r="X20" s="52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53"/>
      <c r="AS20" s="54">
        <v>1.8000000000000003</v>
      </c>
    </row>
    <row r="21" spans="4:45" x14ac:dyDescent="0.15">
      <c r="D21" s="38">
        <v>10</v>
      </c>
      <c r="E21" s="43">
        <v>5</v>
      </c>
      <c r="F21" s="38">
        <f t="shared" si="0"/>
        <v>5.5</v>
      </c>
      <c r="G21" s="43">
        <f t="shared" si="1"/>
        <v>0.5</v>
      </c>
      <c r="H21" s="44">
        <v>0.03</v>
      </c>
      <c r="I21" s="45">
        <f t="shared" si="2"/>
        <v>1.3468550065500529</v>
      </c>
      <c r="J21" s="46"/>
      <c r="L21" s="51">
        <v>0.3</v>
      </c>
      <c r="M21" s="52">
        <v>0.3</v>
      </c>
      <c r="N21" s="52">
        <v>0.3</v>
      </c>
      <c r="O21" s="52">
        <v>0.3</v>
      </c>
      <c r="P21" s="52">
        <v>0.3</v>
      </c>
      <c r="Q21" s="52">
        <v>0.3</v>
      </c>
      <c r="R21" s="52">
        <v>0.3</v>
      </c>
      <c r="S21" s="52">
        <v>0.3</v>
      </c>
      <c r="T21" s="52">
        <v>0.3</v>
      </c>
      <c r="U21" s="52">
        <v>0.3</v>
      </c>
      <c r="V21" s="52">
        <v>0.3</v>
      </c>
      <c r="W21" s="52"/>
      <c r="X21" s="52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53"/>
      <c r="AS21" s="54">
        <v>2</v>
      </c>
    </row>
    <row r="22" spans="4:45" x14ac:dyDescent="0.15">
      <c r="D22" s="38">
        <v>11</v>
      </c>
      <c r="E22" s="43">
        <v>5.5</v>
      </c>
      <c r="F22" s="38">
        <f t="shared" si="0"/>
        <v>6</v>
      </c>
      <c r="G22" s="43">
        <f t="shared" si="1"/>
        <v>0.5</v>
      </c>
      <c r="H22" s="44">
        <v>0.03</v>
      </c>
      <c r="I22" s="45">
        <f t="shared" si="2"/>
        <v>1.3269507453695104</v>
      </c>
      <c r="J22" s="46"/>
      <c r="L22" s="51">
        <v>0.3</v>
      </c>
      <c r="M22" s="52">
        <v>0.3</v>
      </c>
      <c r="N22" s="52">
        <v>0.3</v>
      </c>
      <c r="O22" s="52">
        <v>0.3</v>
      </c>
      <c r="P22" s="52">
        <v>0.3</v>
      </c>
      <c r="Q22" s="52">
        <v>0.3</v>
      </c>
      <c r="R22" s="52">
        <v>0.3</v>
      </c>
      <c r="S22" s="52">
        <v>0.3</v>
      </c>
      <c r="T22" s="52">
        <v>0.3</v>
      </c>
      <c r="U22" s="52">
        <v>0.3</v>
      </c>
      <c r="V22" s="52">
        <v>0.3</v>
      </c>
      <c r="W22" s="52">
        <v>0.3</v>
      </c>
      <c r="X22" s="52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53"/>
      <c r="AS22" s="54">
        <v>2.2000000000000002</v>
      </c>
    </row>
    <row r="23" spans="4:45" x14ac:dyDescent="0.15">
      <c r="D23" s="38">
        <v>12</v>
      </c>
      <c r="E23" s="43">
        <v>6</v>
      </c>
      <c r="F23" s="38">
        <f t="shared" si="0"/>
        <v>6.5</v>
      </c>
      <c r="G23" s="43">
        <f t="shared" si="1"/>
        <v>0.5</v>
      </c>
      <c r="H23" s="44">
        <v>0.03</v>
      </c>
      <c r="I23" s="45">
        <f t="shared" si="2"/>
        <v>1.3073406358320301</v>
      </c>
      <c r="J23" s="46"/>
      <c r="L23" s="51">
        <v>0.3</v>
      </c>
      <c r="M23" s="52">
        <v>0.3</v>
      </c>
      <c r="N23" s="52">
        <v>0.3</v>
      </c>
      <c r="O23" s="52">
        <v>0.3</v>
      </c>
      <c r="P23" s="52">
        <v>0.3</v>
      </c>
      <c r="Q23" s="52">
        <v>0.3</v>
      </c>
      <c r="R23" s="52">
        <v>0.3</v>
      </c>
      <c r="S23" s="52">
        <v>0.3</v>
      </c>
      <c r="T23" s="52">
        <v>0.3</v>
      </c>
      <c r="U23" s="52">
        <v>0.3</v>
      </c>
      <c r="V23" s="52">
        <v>0.3</v>
      </c>
      <c r="W23" s="52">
        <v>0.3</v>
      </c>
      <c r="X23" s="52">
        <v>0.3</v>
      </c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5"/>
      <c r="AP23" s="56"/>
      <c r="AQ23" s="56"/>
      <c r="AS23" s="54">
        <v>2.4</v>
      </c>
    </row>
    <row r="24" spans="4:45" x14ac:dyDescent="0.15">
      <c r="D24" s="38">
        <v>13</v>
      </c>
      <c r="E24" s="43">
        <v>6.5</v>
      </c>
      <c r="F24" s="38">
        <f t="shared" si="0"/>
        <v>7</v>
      </c>
      <c r="G24" s="43">
        <f t="shared" si="1"/>
        <v>0.5</v>
      </c>
      <c r="H24" s="44">
        <v>0.03</v>
      </c>
      <c r="I24" s="45">
        <f t="shared" si="2"/>
        <v>1.2880203308689953</v>
      </c>
      <c r="J24" s="46"/>
      <c r="L24" s="51">
        <v>0.3</v>
      </c>
      <c r="M24" s="52">
        <v>0.3</v>
      </c>
      <c r="N24" s="52">
        <v>0.3</v>
      </c>
      <c r="O24" s="52">
        <v>0.3</v>
      </c>
      <c r="P24" s="52">
        <v>0.3</v>
      </c>
      <c r="Q24" s="52">
        <v>0.3</v>
      </c>
      <c r="R24" s="52">
        <v>0.3</v>
      </c>
      <c r="S24" s="52">
        <v>0.3</v>
      </c>
      <c r="T24" s="52">
        <v>0.3</v>
      </c>
      <c r="U24" s="52">
        <v>0.3</v>
      </c>
      <c r="V24" s="52">
        <v>0.3</v>
      </c>
      <c r="W24" s="52">
        <v>0.3</v>
      </c>
      <c r="X24" s="52">
        <v>0.3</v>
      </c>
      <c r="Y24" s="52">
        <v>0.3</v>
      </c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5"/>
      <c r="AP24" s="56"/>
      <c r="AQ24" s="56"/>
      <c r="AS24" s="54">
        <v>2.6</v>
      </c>
    </row>
    <row r="25" spans="4:45" x14ac:dyDescent="0.15">
      <c r="D25" s="38">
        <v>14</v>
      </c>
      <c r="E25" s="43">
        <v>7</v>
      </c>
      <c r="F25" s="38">
        <f t="shared" si="0"/>
        <v>7.5</v>
      </c>
      <c r="G25" s="43">
        <f t="shared" si="1"/>
        <v>0.5</v>
      </c>
      <c r="H25" s="44">
        <v>0.03</v>
      </c>
      <c r="I25" s="45">
        <f t="shared" si="2"/>
        <v>1.2689855476541827</v>
      </c>
      <c r="J25" s="46"/>
      <c r="L25" s="51">
        <v>0.3</v>
      </c>
      <c r="M25" s="52">
        <v>0.3</v>
      </c>
      <c r="N25" s="52">
        <v>0.3</v>
      </c>
      <c r="O25" s="52">
        <v>0.3</v>
      </c>
      <c r="P25" s="52">
        <v>0.3</v>
      </c>
      <c r="Q25" s="52">
        <v>0.3</v>
      </c>
      <c r="R25" s="52">
        <v>0.3</v>
      </c>
      <c r="S25" s="52">
        <v>0.3</v>
      </c>
      <c r="T25" s="52">
        <v>0.3</v>
      </c>
      <c r="U25" s="52">
        <v>0.3</v>
      </c>
      <c r="V25" s="52">
        <v>0.3</v>
      </c>
      <c r="W25" s="52">
        <v>0.3</v>
      </c>
      <c r="X25" s="52">
        <v>0.3</v>
      </c>
      <c r="Y25" s="52">
        <v>0.3</v>
      </c>
      <c r="Z25" s="52">
        <v>0.3</v>
      </c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5"/>
      <c r="AP25" s="56"/>
      <c r="AQ25" s="56"/>
      <c r="AS25" s="54">
        <v>2.8000000000000003</v>
      </c>
    </row>
    <row r="26" spans="4:45" x14ac:dyDescent="0.15">
      <c r="D26" s="38">
        <v>15</v>
      </c>
      <c r="E26" s="43">
        <v>7.5</v>
      </c>
      <c r="F26" s="38">
        <f t="shared" si="0"/>
        <v>8</v>
      </c>
      <c r="G26" s="43">
        <f t="shared" si="1"/>
        <v>0.5</v>
      </c>
      <c r="H26" s="44">
        <v>0.03</v>
      </c>
      <c r="I26" s="45">
        <f t="shared" si="2"/>
        <v>1.2502320666543674</v>
      </c>
      <c r="J26" s="46"/>
      <c r="L26" s="51">
        <v>0.3</v>
      </c>
      <c r="M26" s="52">
        <v>0.3</v>
      </c>
      <c r="N26" s="52">
        <v>0.3</v>
      </c>
      <c r="O26" s="52">
        <v>0.3</v>
      </c>
      <c r="P26" s="52">
        <v>0.3</v>
      </c>
      <c r="Q26" s="52">
        <v>0.3</v>
      </c>
      <c r="R26" s="52">
        <v>0.3</v>
      </c>
      <c r="S26" s="52">
        <v>0.3</v>
      </c>
      <c r="T26" s="52">
        <v>0.3</v>
      </c>
      <c r="U26" s="52">
        <v>0.3</v>
      </c>
      <c r="V26" s="52">
        <v>0.3</v>
      </c>
      <c r="W26" s="52">
        <v>0.3</v>
      </c>
      <c r="X26" s="52">
        <v>0.3</v>
      </c>
      <c r="Y26" s="52">
        <v>0.3</v>
      </c>
      <c r="Z26" s="52">
        <v>0.3</v>
      </c>
      <c r="AA26" s="52">
        <v>0.3</v>
      </c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5"/>
      <c r="AP26" s="56"/>
      <c r="AQ26" s="56"/>
      <c r="AS26" s="54">
        <v>3</v>
      </c>
    </row>
    <row r="27" spans="4:45" x14ac:dyDescent="0.15">
      <c r="D27" s="38">
        <v>16</v>
      </c>
      <c r="E27" s="43">
        <v>8</v>
      </c>
      <c r="F27" s="38">
        <f t="shared" si="0"/>
        <v>8.5</v>
      </c>
      <c r="G27" s="43">
        <f t="shared" si="1"/>
        <v>0.5</v>
      </c>
      <c r="H27" s="44">
        <v>0.03</v>
      </c>
      <c r="I27" s="45">
        <f t="shared" si="2"/>
        <v>1.2317557306939582</v>
      </c>
      <c r="J27" s="46"/>
      <c r="L27" s="51">
        <v>0.3</v>
      </c>
      <c r="M27" s="52">
        <v>0.3</v>
      </c>
      <c r="N27" s="52">
        <v>0.3</v>
      </c>
      <c r="O27" s="52">
        <v>0.3</v>
      </c>
      <c r="P27" s="52">
        <v>0.3</v>
      </c>
      <c r="Q27" s="52">
        <v>0.3</v>
      </c>
      <c r="R27" s="52">
        <v>0.3</v>
      </c>
      <c r="S27" s="52">
        <v>0.3</v>
      </c>
      <c r="T27" s="52">
        <v>0.3</v>
      </c>
      <c r="U27" s="52">
        <v>0.3</v>
      </c>
      <c r="V27" s="52">
        <v>0.3</v>
      </c>
      <c r="W27" s="52">
        <v>0.3</v>
      </c>
      <c r="X27" s="52">
        <v>0.3</v>
      </c>
      <c r="Y27" s="52">
        <v>0.3</v>
      </c>
      <c r="Z27" s="52">
        <v>0.3</v>
      </c>
      <c r="AA27" s="52">
        <v>0.3</v>
      </c>
      <c r="AB27" s="52">
        <v>0.3</v>
      </c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5"/>
      <c r="AP27" s="56"/>
      <c r="AQ27" s="56"/>
      <c r="AS27" s="54">
        <v>3.2</v>
      </c>
    </row>
    <row r="28" spans="4:45" x14ac:dyDescent="0.15">
      <c r="D28" s="38">
        <v>17</v>
      </c>
      <c r="E28" s="43">
        <v>8.5</v>
      </c>
      <c r="F28" s="38">
        <f t="shared" si="0"/>
        <v>9</v>
      </c>
      <c r="G28" s="43">
        <f t="shared" si="1"/>
        <v>0.5</v>
      </c>
      <c r="H28" s="44">
        <v>0.03</v>
      </c>
      <c r="I28" s="45">
        <f t="shared" si="2"/>
        <v>1.2135524440334564</v>
      </c>
      <c r="J28" s="46"/>
      <c r="L28" s="51">
        <v>0.3</v>
      </c>
      <c r="M28" s="52">
        <v>0.3</v>
      </c>
      <c r="N28" s="52">
        <v>0.3</v>
      </c>
      <c r="O28" s="52">
        <v>0.3</v>
      </c>
      <c r="P28" s="52">
        <v>0.3</v>
      </c>
      <c r="Q28" s="52">
        <v>0.3</v>
      </c>
      <c r="R28" s="52">
        <v>0.3</v>
      </c>
      <c r="S28" s="52">
        <v>0.3</v>
      </c>
      <c r="T28" s="52">
        <v>0.3</v>
      </c>
      <c r="U28" s="52">
        <v>0.3</v>
      </c>
      <c r="V28" s="52">
        <v>0.3</v>
      </c>
      <c r="W28" s="52">
        <v>0.3</v>
      </c>
      <c r="X28" s="52">
        <v>0.3</v>
      </c>
      <c r="Y28" s="52">
        <v>0.3</v>
      </c>
      <c r="Z28" s="52">
        <v>0.3</v>
      </c>
      <c r="AA28" s="52">
        <v>0.3</v>
      </c>
      <c r="AB28" s="52">
        <v>0.2</v>
      </c>
      <c r="AC28" s="52">
        <v>0.3</v>
      </c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5"/>
      <c r="AP28" s="56"/>
      <c r="AQ28" s="56"/>
      <c r="AS28" s="54">
        <v>3.4</v>
      </c>
    </row>
    <row r="29" spans="4:45" x14ac:dyDescent="0.15">
      <c r="D29" s="38">
        <v>18</v>
      </c>
      <c r="E29" s="43">
        <v>9</v>
      </c>
      <c r="F29" s="38">
        <f t="shared" si="0"/>
        <v>9.5</v>
      </c>
      <c r="G29" s="43">
        <f t="shared" si="1"/>
        <v>0.5</v>
      </c>
      <c r="H29" s="44">
        <v>0.03</v>
      </c>
      <c r="I29" s="45">
        <f t="shared" si="2"/>
        <v>1.1956181714615335</v>
      </c>
      <c r="J29" s="46"/>
      <c r="L29" s="51">
        <v>0.3</v>
      </c>
      <c r="M29" s="52">
        <v>0.3</v>
      </c>
      <c r="N29" s="52">
        <v>0.3</v>
      </c>
      <c r="O29" s="52">
        <v>0.3</v>
      </c>
      <c r="P29" s="52">
        <v>0.3</v>
      </c>
      <c r="Q29" s="52">
        <v>0.3</v>
      </c>
      <c r="R29" s="52">
        <v>0.3</v>
      </c>
      <c r="S29" s="52">
        <v>0.3</v>
      </c>
      <c r="T29" s="52">
        <v>0.3</v>
      </c>
      <c r="U29" s="52">
        <v>0.3</v>
      </c>
      <c r="V29" s="52">
        <v>0.3</v>
      </c>
      <c r="W29" s="52">
        <v>0.3</v>
      </c>
      <c r="X29" s="52">
        <v>0.3</v>
      </c>
      <c r="Y29" s="52">
        <v>0.3</v>
      </c>
      <c r="Z29" s="52">
        <v>0.3</v>
      </c>
      <c r="AA29" s="52">
        <v>0.3</v>
      </c>
      <c r="AB29" s="52">
        <v>0.2</v>
      </c>
      <c r="AC29" s="52">
        <v>0.2</v>
      </c>
      <c r="AD29" s="52">
        <v>0.3</v>
      </c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5"/>
      <c r="AP29" s="56"/>
      <c r="AQ29" s="56"/>
      <c r="AS29" s="54">
        <v>3.6</v>
      </c>
    </row>
    <row r="30" spans="4:45" x14ac:dyDescent="0.15">
      <c r="D30" s="38">
        <v>19</v>
      </c>
      <c r="E30" s="43">
        <v>9.5</v>
      </c>
      <c r="F30" s="38">
        <f t="shared" si="0"/>
        <v>10</v>
      </c>
      <c r="G30" s="43">
        <f t="shared" si="1"/>
        <v>0.5</v>
      </c>
      <c r="H30" s="44">
        <v>0.03</v>
      </c>
      <c r="I30" s="45">
        <f t="shared" si="2"/>
        <v>1.1779489374005256</v>
      </c>
      <c r="J30" s="46"/>
      <c r="L30" s="51">
        <v>0.3</v>
      </c>
      <c r="M30" s="52">
        <v>0.3</v>
      </c>
      <c r="N30" s="52">
        <v>0.3</v>
      </c>
      <c r="O30" s="52">
        <v>0.3</v>
      </c>
      <c r="P30" s="52">
        <v>0.3</v>
      </c>
      <c r="Q30" s="52">
        <v>0.3</v>
      </c>
      <c r="R30" s="52">
        <v>0.3</v>
      </c>
      <c r="S30" s="52">
        <v>0.3</v>
      </c>
      <c r="T30" s="52">
        <v>0.3</v>
      </c>
      <c r="U30" s="52">
        <v>0.3</v>
      </c>
      <c r="V30" s="52">
        <v>0.3</v>
      </c>
      <c r="W30" s="52">
        <v>0.3</v>
      </c>
      <c r="X30" s="52">
        <v>0.3</v>
      </c>
      <c r="Y30" s="52">
        <v>0.3</v>
      </c>
      <c r="Z30" s="52">
        <v>0.3</v>
      </c>
      <c r="AA30" s="52">
        <v>0.3</v>
      </c>
      <c r="AB30" s="52">
        <v>0.2</v>
      </c>
      <c r="AC30" s="52">
        <v>0.2</v>
      </c>
      <c r="AD30" s="52">
        <v>0.2</v>
      </c>
      <c r="AE30" s="52">
        <v>0.3</v>
      </c>
      <c r="AF30" s="52"/>
      <c r="AG30" s="52"/>
      <c r="AH30" s="52"/>
      <c r="AI30" s="52"/>
      <c r="AJ30" s="52"/>
      <c r="AK30" s="52"/>
      <c r="AL30" s="52"/>
      <c r="AM30" s="52"/>
      <c r="AN30" s="52"/>
      <c r="AO30" s="55"/>
      <c r="AP30" s="56"/>
      <c r="AQ30" s="56"/>
      <c r="AS30" s="54">
        <v>3.8000000000000003</v>
      </c>
    </row>
    <row r="31" spans="4:45" x14ac:dyDescent="0.15">
      <c r="D31" s="38">
        <v>20</v>
      </c>
      <c r="E31" s="43">
        <v>10</v>
      </c>
      <c r="F31" s="38">
        <f t="shared" si="0"/>
        <v>10.5</v>
      </c>
      <c r="G31" s="43">
        <f t="shared" si="1"/>
        <v>0.5</v>
      </c>
      <c r="H31" s="44">
        <v>0.03</v>
      </c>
      <c r="I31" s="45">
        <f t="shared" si="2"/>
        <v>1.1605408250251485</v>
      </c>
      <c r="J31" s="46"/>
      <c r="L31" s="51">
        <v>0.3</v>
      </c>
      <c r="M31" s="52">
        <v>0.3</v>
      </c>
      <c r="N31" s="52">
        <v>0.3</v>
      </c>
      <c r="O31" s="52">
        <v>0.3</v>
      </c>
      <c r="P31" s="52">
        <v>0.3</v>
      </c>
      <c r="Q31" s="52">
        <v>0.3</v>
      </c>
      <c r="R31" s="52">
        <v>0.3</v>
      </c>
      <c r="S31" s="52">
        <v>0.3</v>
      </c>
      <c r="T31" s="52">
        <v>0.3</v>
      </c>
      <c r="U31" s="52">
        <v>0.3</v>
      </c>
      <c r="V31" s="52">
        <v>0.3</v>
      </c>
      <c r="W31" s="52">
        <v>0.3</v>
      </c>
      <c r="X31" s="52">
        <v>0.3</v>
      </c>
      <c r="Y31" s="52">
        <v>0.3</v>
      </c>
      <c r="Z31" s="52">
        <v>0.3</v>
      </c>
      <c r="AA31" s="52">
        <v>0.3</v>
      </c>
      <c r="AB31" s="52">
        <v>0.2</v>
      </c>
      <c r="AC31" s="52">
        <v>0.2</v>
      </c>
      <c r="AD31" s="52">
        <v>0.2</v>
      </c>
      <c r="AE31" s="52">
        <v>0.2</v>
      </c>
      <c r="AF31" s="52">
        <v>0.3</v>
      </c>
      <c r="AG31" s="52"/>
      <c r="AH31" s="52"/>
      <c r="AI31" s="52"/>
      <c r="AJ31" s="52"/>
      <c r="AK31" s="52"/>
      <c r="AL31" s="52"/>
      <c r="AM31" s="52"/>
      <c r="AN31" s="52"/>
      <c r="AO31" s="55"/>
      <c r="AP31" s="56"/>
      <c r="AQ31" s="56"/>
      <c r="AS31" s="54">
        <v>4</v>
      </c>
    </row>
    <row r="32" spans="4:45" x14ac:dyDescent="0.15">
      <c r="D32" s="38">
        <v>21</v>
      </c>
      <c r="E32" s="43">
        <v>10.5</v>
      </c>
      <c r="F32" s="38">
        <f t="shared" si="0"/>
        <v>11</v>
      </c>
      <c r="G32" s="43">
        <f t="shared" si="1"/>
        <v>0.5</v>
      </c>
      <c r="H32" s="44">
        <v>0.03</v>
      </c>
      <c r="I32" s="45">
        <f t="shared" si="2"/>
        <v>1.1433899753942351</v>
      </c>
      <c r="J32" s="46"/>
      <c r="L32" s="51">
        <v>0.3</v>
      </c>
      <c r="M32" s="52">
        <v>0.3</v>
      </c>
      <c r="N32" s="52">
        <v>0.3</v>
      </c>
      <c r="O32" s="52">
        <v>0.3</v>
      </c>
      <c r="P32" s="52">
        <v>0.3</v>
      </c>
      <c r="Q32" s="52">
        <v>0.3</v>
      </c>
      <c r="R32" s="52">
        <v>0.3</v>
      </c>
      <c r="S32" s="52">
        <v>0.3</v>
      </c>
      <c r="T32" s="52">
        <v>0.3</v>
      </c>
      <c r="U32" s="52">
        <v>0.3</v>
      </c>
      <c r="V32" s="52">
        <v>0.3</v>
      </c>
      <c r="W32" s="52">
        <v>0.3</v>
      </c>
      <c r="X32" s="52">
        <v>0.3</v>
      </c>
      <c r="Y32" s="52">
        <v>0.3</v>
      </c>
      <c r="Z32" s="52">
        <v>0.3</v>
      </c>
      <c r="AA32" s="52">
        <v>0.3</v>
      </c>
      <c r="AB32" s="52">
        <v>0.2</v>
      </c>
      <c r="AC32" s="52">
        <v>0.2</v>
      </c>
      <c r="AD32" s="52">
        <v>0.2</v>
      </c>
      <c r="AE32" s="52">
        <v>0.2</v>
      </c>
      <c r="AF32" s="52">
        <v>0.2</v>
      </c>
      <c r="AG32" s="52">
        <v>0.3</v>
      </c>
      <c r="AH32" s="52"/>
      <c r="AI32" s="52"/>
      <c r="AJ32" s="52"/>
      <c r="AK32" s="52"/>
      <c r="AL32" s="52"/>
      <c r="AM32" s="52"/>
      <c r="AN32" s="52"/>
      <c r="AO32" s="55"/>
      <c r="AP32" s="56"/>
      <c r="AQ32" s="56"/>
      <c r="AS32" s="54">
        <v>4.2</v>
      </c>
    </row>
    <row r="33" spans="4:45" x14ac:dyDescent="0.15">
      <c r="D33" s="38">
        <v>22</v>
      </c>
      <c r="E33" s="43">
        <v>11</v>
      </c>
      <c r="F33" s="38">
        <f t="shared" si="0"/>
        <v>11.5</v>
      </c>
      <c r="G33" s="43">
        <f t="shared" si="1"/>
        <v>0.5</v>
      </c>
      <c r="H33" s="44">
        <v>0.03</v>
      </c>
      <c r="I33" s="45">
        <f t="shared" si="2"/>
        <v>1.1264925865953057</v>
      </c>
      <c r="J33" s="46"/>
      <c r="L33" s="51">
        <v>0.3</v>
      </c>
      <c r="M33" s="52">
        <v>0.3</v>
      </c>
      <c r="N33" s="52">
        <v>0.3</v>
      </c>
      <c r="O33" s="52">
        <v>0.3</v>
      </c>
      <c r="P33" s="52">
        <v>0.3</v>
      </c>
      <c r="Q33" s="52">
        <v>0.3</v>
      </c>
      <c r="R33" s="52">
        <v>0.3</v>
      </c>
      <c r="S33" s="52">
        <v>0.3</v>
      </c>
      <c r="T33" s="52">
        <v>0.3</v>
      </c>
      <c r="U33" s="52">
        <v>0.3</v>
      </c>
      <c r="V33" s="52">
        <v>0.3</v>
      </c>
      <c r="W33" s="52">
        <v>0.3</v>
      </c>
      <c r="X33" s="52">
        <v>0.3</v>
      </c>
      <c r="Y33" s="52">
        <v>0.3</v>
      </c>
      <c r="Z33" s="52">
        <v>0.3</v>
      </c>
      <c r="AA33" s="52">
        <v>0.3</v>
      </c>
      <c r="AB33" s="52">
        <v>0.2</v>
      </c>
      <c r="AC33" s="52">
        <v>0.2</v>
      </c>
      <c r="AD33" s="52">
        <v>0.2</v>
      </c>
      <c r="AE33" s="52">
        <v>0.2</v>
      </c>
      <c r="AF33" s="52">
        <v>0.2</v>
      </c>
      <c r="AG33" s="52">
        <v>0.2</v>
      </c>
      <c r="AH33" s="52">
        <v>0.3</v>
      </c>
      <c r="AI33" s="52"/>
      <c r="AJ33" s="52"/>
      <c r="AK33" s="52"/>
      <c r="AL33" s="52"/>
      <c r="AM33" s="52"/>
      <c r="AN33" s="52"/>
      <c r="AO33" s="55"/>
      <c r="AP33" s="56"/>
      <c r="AQ33" s="56"/>
      <c r="AS33" s="54">
        <v>4.4000000000000004</v>
      </c>
    </row>
    <row r="34" spans="4:45" x14ac:dyDescent="0.15">
      <c r="D34" s="38">
        <v>23</v>
      </c>
      <c r="E34" s="43">
        <v>11.5</v>
      </c>
      <c r="F34" s="38">
        <f t="shared" si="0"/>
        <v>12</v>
      </c>
      <c r="G34" s="43">
        <f t="shared" si="1"/>
        <v>0.5</v>
      </c>
      <c r="H34" s="44">
        <v>0.03</v>
      </c>
      <c r="I34" s="45">
        <f t="shared" si="2"/>
        <v>1.1098449129017791</v>
      </c>
      <c r="J34" s="46"/>
      <c r="L34" s="51">
        <v>0.3</v>
      </c>
      <c r="M34" s="52">
        <v>0.3</v>
      </c>
      <c r="N34" s="52">
        <v>0.3</v>
      </c>
      <c r="O34" s="52">
        <v>0.3</v>
      </c>
      <c r="P34" s="52">
        <v>0.3</v>
      </c>
      <c r="Q34" s="52">
        <v>0.3</v>
      </c>
      <c r="R34" s="52">
        <v>0.3</v>
      </c>
      <c r="S34" s="52">
        <v>0.3</v>
      </c>
      <c r="T34" s="52">
        <v>0.3</v>
      </c>
      <c r="U34" s="52">
        <v>0.3</v>
      </c>
      <c r="V34" s="52">
        <v>0.3</v>
      </c>
      <c r="W34" s="52">
        <v>0.3</v>
      </c>
      <c r="X34" s="52">
        <v>0.3</v>
      </c>
      <c r="Y34" s="52">
        <v>0.3</v>
      </c>
      <c r="Z34" s="52">
        <v>0.3</v>
      </c>
      <c r="AA34" s="52">
        <v>0.3</v>
      </c>
      <c r="AB34" s="52">
        <v>0.2</v>
      </c>
      <c r="AC34" s="52">
        <v>0.2</v>
      </c>
      <c r="AD34" s="52">
        <v>0.2</v>
      </c>
      <c r="AE34" s="52">
        <v>0.2</v>
      </c>
      <c r="AF34" s="52">
        <v>0.2</v>
      </c>
      <c r="AG34" s="52">
        <v>0.2</v>
      </c>
      <c r="AH34" s="52">
        <v>0.2</v>
      </c>
      <c r="AI34" s="52">
        <v>0.3</v>
      </c>
      <c r="AJ34" s="52"/>
      <c r="AK34" s="52"/>
      <c r="AL34" s="52"/>
      <c r="AM34" s="52"/>
      <c r="AN34" s="52"/>
      <c r="AO34" s="55"/>
      <c r="AP34" s="56"/>
      <c r="AQ34" s="56"/>
      <c r="AS34" s="54">
        <v>4.6000000000000005</v>
      </c>
    </row>
    <row r="35" spans="4:45" x14ac:dyDescent="0.15">
      <c r="D35" s="38">
        <v>24</v>
      </c>
      <c r="E35" s="43">
        <v>12</v>
      </c>
      <c r="F35" s="38">
        <f t="shared" si="0"/>
        <v>12.5</v>
      </c>
      <c r="G35" s="43">
        <f t="shared" si="1"/>
        <v>0.5</v>
      </c>
      <c r="H35" s="44">
        <v>0.03</v>
      </c>
      <c r="I35" s="45">
        <f t="shared" si="2"/>
        <v>1.0934432639426397</v>
      </c>
      <c r="J35" s="46"/>
      <c r="L35" s="51">
        <v>0.3</v>
      </c>
      <c r="M35" s="52">
        <v>0.3</v>
      </c>
      <c r="N35" s="52">
        <v>0.3</v>
      </c>
      <c r="O35" s="52">
        <v>0.3</v>
      </c>
      <c r="P35" s="52">
        <v>0.3</v>
      </c>
      <c r="Q35" s="52">
        <v>0.3</v>
      </c>
      <c r="R35" s="52">
        <v>0.3</v>
      </c>
      <c r="S35" s="52">
        <v>0.3</v>
      </c>
      <c r="T35" s="52">
        <v>0.3</v>
      </c>
      <c r="U35" s="52">
        <v>0.3</v>
      </c>
      <c r="V35" s="52">
        <v>0.3</v>
      </c>
      <c r="W35" s="52">
        <v>0.3</v>
      </c>
      <c r="X35" s="52">
        <v>0.3</v>
      </c>
      <c r="Y35" s="52">
        <v>0.3</v>
      </c>
      <c r="Z35" s="52">
        <v>0.3</v>
      </c>
      <c r="AA35" s="52">
        <v>0.3</v>
      </c>
      <c r="AB35" s="52">
        <v>0.2</v>
      </c>
      <c r="AC35" s="52">
        <v>0.2</v>
      </c>
      <c r="AD35" s="52">
        <v>0.2</v>
      </c>
      <c r="AE35" s="52">
        <v>0.2</v>
      </c>
      <c r="AF35" s="52">
        <v>0.2</v>
      </c>
      <c r="AG35" s="52">
        <v>0.2</v>
      </c>
      <c r="AH35" s="52">
        <v>0.2</v>
      </c>
      <c r="AI35" s="52">
        <v>0.2</v>
      </c>
      <c r="AJ35" s="52">
        <v>0.3</v>
      </c>
      <c r="AK35" s="52"/>
      <c r="AL35" s="52"/>
      <c r="AM35" s="52"/>
      <c r="AN35" s="52"/>
      <c r="AO35" s="55"/>
      <c r="AP35" s="56"/>
      <c r="AQ35" s="56"/>
      <c r="AS35" s="54">
        <v>4.8000000000000007</v>
      </c>
    </row>
    <row r="36" spans="4:45" x14ac:dyDescent="0.15">
      <c r="D36" s="38">
        <v>25</v>
      </c>
      <c r="E36" s="43">
        <v>12.5</v>
      </c>
      <c r="F36" s="38">
        <f t="shared" si="0"/>
        <v>13</v>
      </c>
      <c r="G36" s="43">
        <f t="shared" si="1"/>
        <v>0.5</v>
      </c>
      <c r="H36" s="44">
        <v>0.03</v>
      </c>
      <c r="I36" s="45">
        <f t="shared" si="2"/>
        <v>1.0772840038843743</v>
      </c>
      <c r="J36" s="46"/>
      <c r="L36" s="51">
        <v>0.3</v>
      </c>
      <c r="M36" s="52">
        <v>0.3</v>
      </c>
      <c r="N36" s="52">
        <v>0.3</v>
      </c>
      <c r="O36" s="52">
        <v>0.3</v>
      </c>
      <c r="P36" s="52">
        <v>0.3</v>
      </c>
      <c r="Q36" s="52">
        <v>0.3</v>
      </c>
      <c r="R36" s="52">
        <v>0.3</v>
      </c>
      <c r="S36" s="52">
        <v>0.3</v>
      </c>
      <c r="T36" s="52">
        <v>0.3</v>
      </c>
      <c r="U36" s="52">
        <v>0.3</v>
      </c>
      <c r="V36" s="52">
        <v>0.3</v>
      </c>
      <c r="W36" s="52">
        <v>0.3</v>
      </c>
      <c r="X36" s="52">
        <v>0.3</v>
      </c>
      <c r="Y36" s="52">
        <v>0.3</v>
      </c>
      <c r="Z36" s="52">
        <v>0.3</v>
      </c>
      <c r="AA36" s="52">
        <v>0.3</v>
      </c>
      <c r="AB36" s="52">
        <v>0.2</v>
      </c>
      <c r="AC36" s="52">
        <v>0.2</v>
      </c>
      <c r="AD36" s="52">
        <v>0.2</v>
      </c>
      <c r="AE36" s="52">
        <v>0.2</v>
      </c>
      <c r="AF36" s="52">
        <v>0.2</v>
      </c>
      <c r="AG36" s="52">
        <v>0.2</v>
      </c>
      <c r="AH36" s="52">
        <v>0.2</v>
      </c>
      <c r="AI36" s="52">
        <v>0.2</v>
      </c>
      <c r="AJ36" s="52">
        <v>0.2</v>
      </c>
      <c r="AK36" s="52">
        <v>0.3</v>
      </c>
      <c r="AL36" s="52"/>
      <c r="AM36" s="52"/>
      <c r="AN36" s="52"/>
      <c r="AO36" s="55"/>
      <c r="AP36" s="56"/>
      <c r="AQ36" s="56"/>
      <c r="AS36" s="54">
        <v>5.0000000000000009</v>
      </c>
    </row>
    <row r="37" spans="4:45" x14ac:dyDescent="0.15">
      <c r="D37" s="38">
        <v>26</v>
      </c>
      <c r="E37" s="43">
        <v>13</v>
      </c>
      <c r="F37" s="38">
        <f t="shared" si="0"/>
        <v>13.5</v>
      </c>
      <c r="G37" s="43">
        <f t="shared" si="1"/>
        <v>0.5</v>
      </c>
      <c r="H37" s="44">
        <v>0.03</v>
      </c>
      <c r="I37" s="45">
        <f t="shared" si="2"/>
        <v>1.0613635506249994</v>
      </c>
      <c r="J37" s="46"/>
      <c r="L37" s="51">
        <v>0.3</v>
      </c>
      <c r="M37" s="52">
        <v>0.3</v>
      </c>
      <c r="N37" s="52">
        <v>0.3</v>
      </c>
      <c r="O37" s="52">
        <v>0.3</v>
      </c>
      <c r="P37" s="52">
        <v>0.3</v>
      </c>
      <c r="Q37" s="52">
        <v>0.3</v>
      </c>
      <c r="R37" s="52">
        <v>0.3</v>
      </c>
      <c r="S37" s="52">
        <v>0.3</v>
      </c>
      <c r="T37" s="52">
        <v>0.3</v>
      </c>
      <c r="U37" s="52">
        <v>0.3</v>
      </c>
      <c r="V37" s="52">
        <v>0.3</v>
      </c>
      <c r="W37" s="52">
        <v>0.3</v>
      </c>
      <c r="X37" s="52">
        <v>0.3</v>
      </c>
      <c r="Y37" s="52">
        <v>0.3</v>
      </c>
      <c r="Z37" s="52">
        <v>0.3</v>
      </c>
      <c r="AA37" s="52">
        <v>0.3</v>
      </c>
      <c r="AB37" s="52">
        <v>0.2</v>
      </c>
      <c r="AC37" s="52">
        <v>0.2</v>
      </c>
      <c r="AD37" s="52">
        <v>0.2</v>
      </c>
      <c r="AE37" s="52">
        <v>0.2</v>
      </c>
      <c r="AF37" s="52">
        <v>0.2</v>
      </c>
      <c r="AG37" s="52">
        <v>0.2</v>
      </c>
      <c r="AH37" s="52">
        <v>0.2</v>
      </c>
      <c r="AI37" s="52">
        <v>0.2</v>
      </c>
      <c r="AJ37" s="52">
        <v>0.2</v>
      </c>
      <c r="AK37" s="52">
        <v>0.2</v>
      </c>
      <c r="AL37" s="52">
        <v>0.3</v>
      </c>
      <c r="AM37" s="52"/>
      <c r="AN37" s="52"/>
      <c r="AO37" s="55"/>
      <c r="AP37" s="56"/>
      <c r="AQ37" s="56"/>
      <c r="AS37" s="54">
        <v>5.2000000000000011</v>
      </c>
    </row>
    <row r="38" spans="4:45" x14ac:dyDescent="0.15">
      <c r="D38" s="38">
        <v>27</v>
      </c>
      <c r="E38" s="43">
        <v>13.5</v>
      </c>
      <c r="F38" s="38">
        <f t="shared" si="0"/>
        <v>14</v>
      </c>
      <c r="G38" s="43">
        <f t="shared" si="1"/>
        <v>0.5</v>
      </c>
      <c r="H38" s="44">
        <v>0.03</v>
      </c>
      <c r="I38" s="45">
        <f t="shared" si="2"/>
        <v>1.0456783749999996</v>
      </c>
      <c r="J38" s="46"/>
      <c r="L38" s="51">
        <v>0.3</v>
      </c>
      <c r="M38" s="52">
        <v>0.3</v>
      </c>
      <c r="N38" s="52">
        <v>0.3</v>
      </c>
      <c r="O38" s="52">
        <v>0.3</v>
      </c>
      <c r="P38" s="52">
        <v>0.3</v>
      </c>
      <c r="Q38" s="52">
        <v>0.3</v>
      </c>
      <c r="R38" s="52">
        <v>0.3</v>
      </c>
      <c r="S38" s="52">
        <v>0.3</v>
      </c>
      <c r="T38" s="52">
        <v>0.3</v>
      </c>
      <c r="U38" s="52">
        <v>0.3</v>
      </c>
      <c r="V38" s="52">
        <v>0.3</v>
      </c>
      <c r="W38" s="52">
        <v>0.3</v>
      </c>
      <c r="X38" s="52">
        <v>0.3</v>
      </c>
      <c r="Y38" s="52">
        <v>0.3</v>
      </c>
      <c r="Z38" s="52">
        <v>0.3</v>
      </c>
      <c r="AA38" s="52">
        <v>0.3</v>
      </c>
      <c r="AB38" s="52">
        <v>0.2</v>
      </c>
      <c r="AC38" s="52">
        <v>0.2</v>
      </c>
      <c r="AD38" s="52">
        <v>0.2</v>
      </c>
      <c r="AE38" s="52">
        <v>0.2</v>
      </c>
      <c r="AF38" s="52">
        <v>0.2</v>
      </c>
      <c r="AG38" s="52">
        <v>0.2</v>
      </c>
      <c r="AH38" s="52">
        <v>0.2</v>
      </c>
      <c r="AI38" s="52">
        <v>0.2</v>
      </c>
      <c r="AJ38" s="52">
        <v>0.2</v>
      </c>
      <c r="AK38" s="52">
        <v>0.2</v>
      </c>
      <c r="AL38" s="52">
        <v>0.2</v>
      </c>
      <c r="AM38" s="52">
        <v>0.3</v>
      </c>
      <c r="AN38" s="52"/>
      <c r="AO38" s="55"/>
      <c r="AP38" s="56"/>
      <c r="AQ38" s="56"/>
      <c r="AS38" s="54">
        <v>5.4</v>
      </c>
    </row>
    <row r="39" spans="4:45" x14ac:dyDescent="0.15">
      <c r="D39" s="38">
        <v>28</v>
      </c>
      <c r="E39" s="43">
        <v>14</v>
      </c>
      <c r="F39" s="38">
        <f t="shared" si="0"/>
        <v>14.5</v>
      </c>
      <c r="G39" s="43">
        <f t="shared" si="1"/>
        <v>0.5</v>
      </c>
      <c r="H39" s="44">
        <v>0.03</v>
      </c>
      <c r="I39" s="45">
        <f t="shared" si="2"/>
        <v>1.0302249999999997</v>
      </c>
      <c r="J39" s="46"/>
      <c r="L39" s="51">
        <v>0.3</v>
      </c>
      <c r="M39" s="52">
        <v>0.3</v>
      </c>
      <c r="N39" s="52">
        <v>0.3</v>
      </c>
      <c r="O39" s="52">
        <v>0.3</v>
      </c>
      <c r="P39" s="52">
        <v>0.3</v>
      </c>
      <c r="Q39" s="52">
        <v>0.3</v>
      </c>
      <c r="R39" s="52">
        <v>0.3</v>
      </c>
      <c r="S39" s="52">
        <v>0.3</v>
      </c>
      <c r="T39" s="52">
        <v>0.3</v>
      </c>
      <c r="U39" s="52">
        <v>0.3</v>
      </c>
      <c r="V39" s="52">
        <v>0.3</v>
      </c>
      <c r="W39" s="52">
        <v>0.3</v>
      </c>
      <c r="X39" s="52">
        <v>0.3</v>
      </c>
      <c r="Y39" s="52">
        <v>0.3</v>
      </c>
      <c r="Z39" s="52">
        <v>0.3</v>
      </c>
      <c r="AA39" s="52">
        <v>0.3</v>
      </c>
      <c r="AB39" s="52">
        <v>0.2</v>
      </c>
      <c r="AC39" s="52">
        <v>0.2</v>
      </c>
      <c r="AD39" s="52">
        <v>0.2</v>
      </c>
      <c r="AE39" s="52">
        <v>0.2</v>
      </c>
      <c r="AF39" s="52">
        <v>0.2</v>
      </c>
      <c r="AG39" s="52">
        <v>0.2</v>
      </c>
      <c r="AH39" s="52">
        <v>0.2</v>
      </c>
      <c r="AI39" s="52">
        <v>0.2</v>
      </c>
      <c r="AJ39" s="52">
        <v>0.2</v>
      </c>
      <c r="AK39" s="52">
        <v>0.2</v>
      </c>
      <c r="AL39" s="52">
        <v>0.2</v>
      </c>
      <c r="AM39" s="52">
        <v>0.2</v>
      </c>
      <c r="AN39" s="52">
        <v>0.3</v>
      </c>
      <c r="AO39" s="55"/>
      <c r="AP39" s="56"/>
      <c r="AQ39" s="56"/>
      <c r="AS39" s="54">
        <v>5.6000000000000005</v>
      </c>
    </row>
    <row r="40" spans="4:45" ht="12.75" thickBot="1" x14ac:dyDescent="0.2">
      <c r="D40" s="38">
        <v>29</v>
      </c>
      <c r="E40" s="43">
        <v>14.5</v>
      </c>
      <c r="F40" s="38">
        <f t="shared" si="0"/>
        <v>15</v>
      </c>
      <c r="G40" s="43">
        <f t="shared" si="1"/>
        <v>0.5</v>
      </c>
      <c r="H40" s="44">
        <v>0.03</v>
      </c>
      <c r="I40" s="45">
        <f t="shared" si="2"/>
        <v>1.0149999999999999</v>
      </c>
      <c r="J40" s="46"/>
      <c r="L40" s="57">
        <v>0.3</v>
      </c>
      <c r="M40" s="58">
        <v>0.3</v>
      </c>
      <c r="N40" s="58">
        <v>0.3</v>
      </c>
      <c r="O40" s="58">
        <v>0.3</v>
      </c>
      <c r="P40" s="58">
        <v>0.3</v>
      </c>
      <c r="Q40" s="58">
        <v>0.3</v>
      </c>
      <c r="R40" s="58">
        <v>0.3</v>
      </c>
      <c r="S40" s="58">
        <v>0.3</v>
      </c>
      <c r="T40" s="58">
        <v>0.3</v>
      </c>
      <c r="U40" s="58">
        <v>0.3</v>
      </c>
      <c r="V40" s="58">
        <v>0.3</v>
      </c>
      <c r="W40" s="58">
        <v>0.3</v>
      </c>
      <c r="X40" s="58">
        <v>0.3</v>
      </c>
      <c r="Y40" s="58">
        <v>0.3</v>
      </c>
      <c r="Z40" s="58">
        <v>0.3</v>
      </c>
      <c r="AA40" s="58">
        <v>0.3</v>
      </c>
      <c r="AB40" s="58">
        <v>0.2</v>
      </c>
      <c r="AC40" s="58">
        <v>0.2</v>
      </c>
      <c r="AD40" s="58">
        <v>0.2</v>
      </c>
      <c r="AE40" s="58">
        <v>0.2</v>
      </c>
      <c r="AF40" s="58">
        <v>0.2</v>
      </c>
      <c r="AG40" s="58">
        <v>0.2</v>
      </c>
      <c r="AH40" s="58">
        <v>0.2</v>
      </c>
      <c r="AI40" s="58">
        <v>0.2</v>
      </c>
      <c r="AJ40" s="58">
        <v>0.2</v>
      </c>
      <c r="AK40" s="58">
        <v>0.2</v>
      </c>
      <c r="AL40" s="58">
        <v>0.2</v>
      </c>
      <c r="AM40" s="58">
        <v>0.2</v>
      </c>
      <c r="AN40" s="58">
        <v>0.2</v>
      </c>
      <c r="AO40" s="59">
        <v>0.3</v>
      </c>
      <c r="AP40" s="56"/>
      <c r="AQ40" s="56"/>
      <c r="AS40" s="54">
        <v>5.8000000000000007</v>
      </c>
    </row>
    <row r="41" spans="4:45" x14ac:dyDescent="0.15">
      <c r="E41" s="43">
        <v>15</v>
      </c>
      <c r="I41" s="45">
        <v>1</v>
      </c>
      <c r="AS41" s="54">
        <v>6.0000000000000009</v>
      </c>
    </row>
    <row r="42" spans="4:45" x14ac:dyDescent="0.15">
      <c r="AS42" s="54">
        <v>6.2000000000000011</v>
      </c>
    </row>
    <row r="43" spans="4:45" x14ac:dyDescent="0.15">
      <c r="AS43" s="54">
        <v>6.4</v>
      </c>
    </row>
    <row r="44" spans="4:45" x14ac:dyDescent="0.15">
      <c r="AS44" s="54">
        <v>6.6000000000000005</v>
      </c>
    </row>
    <row r="45" spans="4:45" x14ac:dyDescent="0.15">
      <c r="AS45" s="54">
        <v>6.8000000000000007</v>
      </c>
    </row>
    <row r="46" spans="4:45" x14ac:dyDescent="0.15">
      <c r="AS46" s="54">
        <v>7.0000000000000009</v>
      </c>
    </row>
    <row r="47" spans="4:45" x14ac:dyDescent="0.15">
      <c r="AS47" s="54">
        <v>7.2000000000000011</v>
      </c>
    </row>
    <row r="48" spans="4:45" x14ac:dyDescent="0.15">
      <c r="AS48" s="54">
        <v>7.4</v>
      </c>
    </row>
    <row r="49" spans="45:45" x14ac:dyDescent="0.15">
      <c r="AS49" s="54">
        <v>7.6000000000000005</v>
      </c>
    </row>
    <row r="50" spans="45:45" x14ac:dyDescent="0.15">
      <c r="AS50" s="54">
        <v>7.8000000000000007</v>
      </c>
    </row>
    <row r="51" spans="45:45" x14ac:dyDescent="0.15">
      <c r="AS51" s="54">
        <v>8</v>
      </c>
    </row>
    <row r="52" spans="45:45" x14ac:dyDescent="0.15">
      <c r="AS52" s="54">
        <v>8.2000000000000011</v>
      </c>
    </row>
    <row r="53" spans="45:45" x14ac:dyDescent="0.15">
      <c r="AS53" s="54">
        <v>8.4</v>
      </c>
    </row>
    <row r="54" spans="45:45" x14ac:dyDescent="0.15">
      <c r="AS54" s="54">
        <v>8.6000000000000014</v>
      </c>
    </row>
    <row r="55" spans="45:45" x14ac:dyDescent="0.15">
      <c r="AS55" s="54">
        <v>8.8000000000000007</v>
      </c>
    </row>
    <row r="56" spans="45:45" x14ac:dyDescent="0.15">
      <c r="AS56" s="54">
        <v>9</v>
      </c>
    </row>
    <row r="57" spans="45:45" x14ac:dyDescent="0.15">
      <c r="AS57" s="54">
        <v>9.2000000000000011</v>
      </c>
    </row>
    <row r="58" spans="45:45" x14ac:dyDescent="0.15">
      <c r="AS58" s="54">
        <v>9.4</v>
      </c>
    </row>
    <row r="59" spans="45:45" x14ac:dyDescent="0.15">
      <c r="AS59" s="54">
        <v>9.6000000000000014</v>
      </c>
    </row>
    <row r="60" spans="45:45" x14ac:dyDescent="0.15">
      <c r="AS60" s="54">
        <v>9.8000000000000007</v>
      </c>
    </row>
    <row r="61" spans="45:45" x14ac:dyDescent="0.15">
      <c r="AS61" s="54">
        <v>10.000000000000002</v>
      </c>
    </row>
    <row r="62" spans="45:45" x14ac:dyDescent="0.15">
      <c r="AS62" s="54">
        <v>10.200000000000001</v>
      </c>
    </row>
    <row r="63" spans="45:45" x14ac:dyDescent="0.15">
      <c r="AS63" s="54">
        <v>10.4</v>
      </c>
    </row>
    <row r="64" spans="45:45" x14ac:dyDescent="0.15">
      <c r="AS64" s="54">
        <v>10.600000000000001</v>
      </c>
    </row>
    <row r="65" spans="45:45" x14ac:dyDescent="0.15">
      <c r="AS65" s="54">
        <v>10.8</v>
      </c>
    </row>
    <row r="66" spans="45:45" x14ac:dyDescent="0.15">
      <c r="AS66" s="54">
        <v>11.000000000000002</v>
      </c>
    </row>
    <row r="67" spans="45:45" x14ac:dyDescent="0.15">
      <c r="AS67" s="54">
        <v>11.200000000000001</v>
      </c>
    </row>
    <row r="68" spans="45:45" x14ac:dyDescent="0.15">
      <c r="AS68" s="54">
        <v>11.4</v>
      </c>
    </row>
    <row r="69" spans="45:45" x14ac:dyDescent="0.15">
      <c r="AS69" s="54">
        <v>11.600000000000001</v>
      </c>
    </row>
    <row r="70" spans="45:45" x14ac:dyDescent="0.15">
      <c r="AS70" s="54">
        <v>11.8</v>
      </c>
    </row>
    <row r="71" spans="45:45" x14ac:dyDescent="0.15">
      <c r="AS71" s="54">
        <v>12.000000000000002</v>
      </c>
    </row>
    <row r="72" spans="45:45" x14ac:dyDescent="0.15">
      <c r="AS72" s="54">
        <v>12.200000000000001</v>
      </c>
    </row>
    <row r="73" spans="45:45" x14ac:dyDescent="0.15">
      <c r="AS73" s="54">
        <v>12.4</v>
      </c>
    </row>
    <row r="74" spans="45:45" x14ac:dyDescent="0.15">
      <c r="AS74" s="54">
        <v>12.600000000000001</v>
      </c>
    </row>
    <row r="75" spans="45:45" x14ac:dyDescent="0.15">
      <c r="AS75" s="54">
        <v>12.8</v>
      </c>
    </row>
    <row r="76" spans="45:45" x14ac:dyDescent="0.15">
      <c r="AS76" s="54">
        <v>13.000000000000002</v>
      </c>
    </row>
    <row r="77" spans="45:45" x14ac:dyDescent="0.15">
      <c r="AS77" s="54">
        <v>13.200000000000001</v>
      </c>
    </row>
    <row r="78" spans="45:45" x14ac:dyDescent="0.15">
      <c r="AS78" s="54">
        <v>13.4</v>
      </c>
    </row>
    <row r="79" spans="45:45" x14ac:dyDescent="0.15">
      <c r="AS79" s="54">
        <v>13.600000000000001</v>
      </c>
    </row>
    <row r="80" spans="45:45" x14ac:dyDescent="0.15">
      <c r="AS80" s="54">
        <v>13.8</v>
      </c>
    </row>
    <row r="81" spans="45:45" x14ac:dyDescent="0.15">
      <c r="AS81" s="54">
        <v>14.000000000000002</v>
      </c>
    </row>
    <row r="82" spans="45:45" x14ac:dyDescent="0.15">
      <c r="AS82" s="54">
        <v>14.200000000000001</v>
      </c>
    </row>
    <row r="83" spans="45:45" x14ac:dyDescent="0.15">
      <c r="AS83" s="54">
        <v>14.4</v>
      </c>
    </row>
    <row r="84" spans="45:45" x14ac:dyDescent="0.15">
      <c r="AS84" s="54">
        <v>14.600000000000001</v>
      </c>
    </row>
    <row r="85" spans="45:45" x14ac:dyDescent="0.15">
      <c r="AS85" s="54">
        <v>14.8</v>
      </c>
    </row>
    <row r="86" spans="45:45" x14ac:dyDescent="0.15">
      <c r="AS86" s="54">
        <v>15.000000000000002</v>
      </c>
    </row>
    <row r="87" spans="45:45" x14ac:dyDescent="0.15">
      <c r="AS87" s="54">
        <v>15.200000000000001</v>
      </c>
    </row>
    <row r="88" spans="45:45" x14ac:dyDescent="0.15">
      <c r="AS88" s="54">
        <v>15.4</v>
      </c>
    </row>
    <row r="89" spans="45:45" x14ac:dyDescent="0.15">
      <c r="AS89" s="54">
        <v>15.600000000000001</v>
      </c>
    </row>
    <row r="90" spans="45:45" x14ac:dyDescent="0.15">
      <c r="AS90" s="54">
        <v>15.8</v>
      </c>
    </row>
    <row r="91" spans="45:45" x14ac:dyDescent="0.15">
      <c r="AS91" s="54">
        <v>16</v>
      </c>
    </row>
    <row r="92" spans="45:45" x14ac:dyDescent="0.15">
      <c r="AS92" s="54">
        <v>16.2</v>
      </c>
    </row>
    <row r="93" spans="45:45" x14ac:dyDescent="0.15">
      <c r="AS93" s="54">
        <v>16.399999999999999</v>
      </c>
    </row>
    <row r="94" spans="45:45" x14ac:dyDescent="0.15">
      <c r="AS94" s="54">
        <v>16.599999999999998</v>
      </c>
    </row>
    <row r="95" spans="45:45" x14ac:dyDescent="0.15">
      <c r="AS95" s="54">
        <v>16.8</v>
      </c>
    </row>
    <row r="96" spans="45:45" x14ac:dyDescent="0.15">
      <c r="AS96" s="54">
        <v>17</v>
      </c>
    </row>
    <row r="97" spans="45:45" x14ac:dyDescent="0.15">
      <c r="AS97" s="54">
        <v>17.2</v>
      </c>
    </row>
    <row r="98" spans="45:45" x14ac:dyDescent="0.15">
      <c r="AS98" s="54">
        <v>17.399999999999999</v>
      </c>
    </row>
    <row r="99" spans="45:45" x14ac:dyDescent="0.15">
      <c r="AS99" s="54">
        <v>17.599999999999998</v>
      </c>
    </row>
    <row r="100" spans="45:45" x14ac:dyDescent="0.15">
      <c r="AS100" s="54">
        <v>17.8</v>
      </c>
    </row>
    <row r="101" spans="45:45" x14ac:dyDescent="0.15">
      <c r="AS101" s="54">
        <v>18</v>
      </c>
    </row>
    <row r="102" spans="45:45" x14ac:dyDescent="0.15">
      <c r="AS102" s="54">
        <v>18.2</v>
      </c>
    </row>
    <row r="103" spans="45:45" x14ac:dyDescent="0.15">
      <c r="AS103" s="54">
        <v>18.399999999999999</v>
      </c>
    </row>
    <row r="104" spans="45:45" x14ac:dyDescent="0.15">
      <c r="AS104" s="54">
        <v>18.599999999999998</v>
      </c>
    </row>
    <row r="105" spans="45:45" x14ac:dyDescent="0.15">
      <c r="AS105" s="54">
        <v>18.8</v>
      </c>
    </row>
    <row r="106" spans="45:45" x14ac:dyDescent="0.15">
      <c r="AS106" s="54">
        <v>19</v>
      </c>
    </row>
    <row r="107" spans="45:45" x14ac:dyDescent="0.15">
      <c r="AS107" s="54">
        <v>19.2</v>
      </c>
    </row>
    <row r="108" spans="45:45" x14ac:dyDescent="0.15">
      <c r="AS108" s="54">
        <v>19.399999999999999</v>
      </c>
    </row>
    <row r="109" spans="45:45" x14ac:dyDescent="0.15">
      <c r="AS109" s="54">
        <v>19.600000000000001</v>
      </c>
    </row>
    <row r="110" spans="45:45" x14ac:dyDescent="0.15">
      <c r="AS110" s="54">
        <v>19.8</v>
      </c>
    </row>
    <row r="111" spans="45:45" x14ac:dyDescent="0.15">
      <c r="AS111" s="54">
        <v>20</v>
      </c>
    </row>
    <row r="112" spans="45:45" x14ac:dyDescent="0.15">
      <c r="AS112" s="54">
        <v>20.2</v>
      </c>
    </row>
    <row r="113" spans="45:45" x14ac:dyDescent="0.15">
      <c r="AS113" s="54">
        <v>20.399999999999999</v>
      </c>
    </row>
    <row r="114" spans="45:45" x14ac:dyDescent="0.15">
      <c r="AS114" s="54">
        <v>20.6</v>
      </c>
    </row>
    <row r="115" spans="45:45" x14ac:dyDescent="0.15">
      <c r="AS115" s="54">
        <v>20.8</v>
      </c>
    </row>
    <row r="116" spans="45:45" x14ac:dyDescent="0.15">
      <c r="AS116" s="54">
        <v>21</v>
      </c>
    </row>
    <row r="117" spans="45:45" x14ac:dyDescent="0.15">
      <c r="AS117" s="54">
        <v>21.2</v>
      </c>
    </row>
    <row r="118" spans="45:45" x14ac:dyDescent="0.15">
      <c r="AS118" s="54">
        <v>21.4</v>
      </c>
    </row>
    <row r="119" spans="45:45" x14ac:dyDescent="0.15">
      <c r="AS119" s="54">
        <v>21.6</v>
      </c>
    </row>
    <row r="120" spans="45:45" x14ac:dyDescent="0.15">
      <c r="AS120" s="54">
        <v>21.8</v>
      </c>
    </row>
    <row r="121" spans="45:45" x14ac:dyDescent="0.15">
      <c r="AS121" s="54">
        <v>22</v>
      </c>
    </row>
    <row r="122" spans="45:45" x14ac:dyDescent="0.15">
      <c r="AS122" s="54">
        <v>22.2</v>
      </c>
    </row>
    <row r="123" spans="45:45" x14ac:dyDescent="0.15">
      <c r="AS123" s="54">
        <v>22.4</v>
      </c>
    </row>
    <row r="124" spans="45:45" x14ac:dyDescent="0.15">
      <c r="AS124" s="54">
        <v>22.6</v>
      </c>
    </row>
    <row r="125" spans="45:45" x14ac:dyDescent="0.15">
      <c r="AS125" s="54">
        <v>22.8</v>
      </c>
    </row>
    <row r="126" spans="45:45" x14ac:dyDescent="0.15">
      <c r="AS126" s="54">
        <v>23</v>
      </c>
    </row>
    <row r="127" spans="45:45" x14ac:dyDescent="0.15">
      <c r="AS127" s="54">
        <v>23.2</v>
      </c>
    </row>
    <row r="128" spans="45:45" x14ac:dyDescent="0.15">
      <c r="AS128" s="54">
        <v>23.4</v>
      </c>
    </row>
    <row r="129" spans="45:45" x14ac:dyDescent="0.15">
      <c r="AS129" s="54">
        <v>23.6</v>
      </c>
    </row>
    <row r="130" spans="45:45" x14ac:dyDescent="0.15">
      <c r="AS130" s="54">
        <v>23.8</v>
      </c>
    </row>
    <row r="131" spans="45:45" x14ac:dyDescent="0.15">
      <c r="AS131" s="54">
        <v>24</v>
      </c>
    </row>
    <row r="132" spans="45:45" x14ac:dyDescent="0.15">
      <c r="AS132" s="54">
        <v>24.2</v>
      </c>
    </row>
    <row r="133" spans="45:45" x14ac:dyDescent="0.15">
      <c r="AS133" s="54">
        <v>24.4</v>
      </c>
    </row>
    <row r="134" spans="45:45" x14ac:dyDescent="0.15">
      <c r="AS134" s="54">
        <v>24.6</v>
      </c>
    </row>
    <row r="135" spans="45:45" x14ac:dyDescent="0.15">
      <c r="AS135" s="54">
        <v>24.8</v>
      </c>
    </row>
    <row r="136" spans="45:45" x14ac:dyDescent="0.15">
      <c r="AS136" s="54">
        <v>25</v>
      </c>
    </row>
    <row r="137" spans="45:45" x14ac:dyDescent="0.15">
      <c r="AS137" s="54">
        <v>25.2</v>
      </c>
    </row>
    <row r="138" spans="45:45" x14ac:dyDescent="0.15">
      <c r="AS138" s="54">
        <v>25.4</v>
      </c>
    </row>
    <row r="139" spans="45:45" x14ac:dyDescent="0.15">
      <c r="AS139" s="54">
        <v>25.6</v>
      </c>
    </row>
    <row r="140" spans="45:45" x14ac:dyDescent="0.15">
      <c r="AS140" s="54">
        <v>25.8</v>
      </c>
    </row>
    <row r="141" spans="45:45" x14ac:dyDescent="0.15">
      <c r="AS141" s="54">
        <v>26</v>
      </c>
    </row>
    <row r="142" spans="45:45" x14ac:dyDescent="0.15">
      <c r="AS142" s="54">
        <v>26.2</v>
      </c>
    </row>
    <row r="143" spans="45:45" x14ac:dyDescent="0.15">
      <c r="AS143" s="54">
        <v>26.4</v>
      </c>
    </row>
    <row r="144" spans="45:45" x14ac:dyDescent="0.15">
      <c r="AS144" s="54">
        <v>26.6</v>
      </c>
    </row>
    <row r="145" spans="45:45" x14ac:dyDescent="0.15">
      <c r="AS145" s="54">
        <v>26.8</v>
      </c>
    </row>
    <row r="146" spans="45:45" x14ac:dyDescent="0.15">
      <c r="AS146" s="54">
        <v>27</v>
      </c>
    </row>
    <row r="147" spans="45:45" x14ac:dyDescent="0.15">
      <c r="AS147" s="54">
        <v>27.2</v>
      </c>
    </row>
    <row r="148" spans="45:45" x14ac:dyDescent="0.15">
      <c r="AS148" s="54">
        <v>27.4</v>
      </c>
    </row>
    <row r="149" spans="45:45" x14ac:dyDescent="0.15">
      <c r="AS149" s="54">
        <v>27.6</v>
      </c>
    </row>
    <row r="150" spans="45:45" x14ac:dyDescent="0.15">
      <c r="AS150" s="54">
        <v>27.8</v>
      </c>
    </row>
    <row r="151" spans="45:45" x14ac:dyDescent="0.15">
      <c r="AS151" s="54">
        <v>28</v>
      </c>
    </row>
    <row r="152" spans="45:45" x14ac:dyDescent="0.15">
      <c r="AS152" s="54">
        <v>28.2</v>
      </c>
    </row>
    <row r="153" spans="45:45" x14ac:dyDescent="0.15">
      <c r="AS153" s="54">
        <v>28.4</v>
      </c>
    </row>
    <row r="154" spans="45:45" x14ac:dyDescent="0.15">
      <c r="AS154" s="54">
        <v>28.6</v>
      </c>
    </row>
    <row r="155" spans="45:45" x14ac:dyDescent="0.15">
      <c r="AS155" s="54">
        <v>28.8</v>
      </c>
    </row>
    <row r="156" spans="45:45" x14ac:dyDescent="0.15">
      <c r="AS156" s="54">
        <v>29</v>
      </c>
    </row>
    <row r="157" spans="45:45" x14ac:dyDescent="0.15">
      <c r="AS157" s="54">
        <v>29.2</v>
      </c>
    </row>
    <row r="158" spans="45:45" x14ac:dyDescent="0.15">
      <c r="AS158" s="54">
        <v>29.4</v>
      </c>
    </row>
    <row r="159" spans="45:45" x14ac:dyDescent="0.15">
      <c r="AS159" s="54">
        <v>29.6</v>
      </c>
    </row>
    <row r="160" spans="45:45" x14ac:dyDescent="0.15">
      <c r="AS160" s="54">
        <v>29.8</v>
      </c>
    </row>
    <row r="161" spans="45:45" x14ac:dyDescent="0.15">
      <c r="AS161" s="60">
        <v>30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imulate">
                <anchor moveWithCells="1" sizeWithCells="1">
                  <from>
                    <xdr:col>0</xdr:col>
                    <xdr:colOff>342900</xdr:colOff>
                    <xdr:row>2</xdr:row>
                    <xdr:rowOff>9525</xdr:rowOff>
                  </from>
                  <to>
                    <xdr:col>2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1:IV39"/>
  <sheetViews>
    <sheetView workbookViewId="0">
      <selection activeCell="H21" sqref="H21"/>
    </sheetView>
  </sheetViews>
  <sheetFormatPr defaultRowHeight="13.5" x14ac:dyDescent="0.15"/>
  <cols>
    <col min="1" max="4" width="4.75" customWidth="1"/>
    <col min="7" max="8" width="5.25" customWidth="1"/>
    <col min="9" max="9" width="9.375" customWidth="1"/>
  </cols>
  <sheetData>
    <row r="1" spans="5:256" ht="14.25" thickBot="1" x14ac:dyDescent="0.2"/>
    <row r="2" spans="5:256" ht="27.75" thickBot="1" x14ac:dyDescent="0.2">
      <c r="I2" s="32" t="s">
        <v>92</v>
      </c>
      <c r="J2" s="31">
        <v>50</v>
      </c>
    </row>
    <row r="8" spans="5:256" x14ac:dyDescent="0.15">
      <c r="E8" t="s">
        <v>88</v>
      </c>
      <c r="J8">
        <f>LMMSimulation!I3</f>
        <v>240</v>
      </c>
      <c r="K8" t="s">
        <v>93</v>
      </c>
    </row>
    <row r="9" spans="5:256" x14ac:dyDescent="0.15">
      <c r="E9" t="s">
        <v>87</v>
      </c>
      <c r="F9" t="s">
        <v>86</v>
      </c>
      <c r="J9" t="s">
        <v>91</v>
      </c>
    </row>
    <row r="10" spans="5:256" x14ac:dyDescent="0.15">
      <c r="E10">
        <v>2.9999999999999759E-2</v>
      </c>
      <c r="F10">
        <v>8.7882540620394415E-31</v>
      </c>
      <c r="J10" s="17">
        <v>3.0000000000001078E-2</v>
      </c>
      <c r="K10" s="17">
        <v>2.9999999999999263E-2</v>
      </c>
      <c r="L10" s="17">
        <v>3.0000000000001616E-2</v>
      </c>
      <c r="M10" s="17">
        <v>2.9999999999998625E-2</v>
      </c>
      <c r="N10" s="17">
        <v>2.9999999999999475E-2</v>
      </c>
      <c r="O10" s="17">
        <v>2.9999999999998736E-2</v>
      </c>
      <c r="P10" s="17">
        <v>2.9999999999998934E-2</v>
      </c>
      <c r="Q10" s="17">
        <v>3.0000000000000502E-2</v>
      </c>
      <c r="R10" s="17">
        <v>2.999999999999968E-2</v>
      </c>
      <c r="S10" s="17">
        <v>3.0000000000001047E-2</v>
      </c>
      <c r="T10">
        <v>2.9999999999999652E-2</v>
      </c>
      <c r="U10">
        <v>2.9999999999999957E-2</v>
      </c>
      <c r="V10">
        <v>3.0000000000002046E-2</v>
      </c>
      <c r="W10">
        <v>3.0000000000000762E-2</v>
      </c>
      <c r="X10">
        <v>3.0000000000000346E-2</v>
      </c>
      <c r="Y10">
        <v>2.9999999999998604E-2</v>
      </c>
      <c r="Z10">
        <v>2.9999999999998743E-2</v>
      </c>
      <c r="AA10">
        <v>2.9999999999999527E-2</v>
      </c>
      <c r="AB10">
        <v>3.0000000000000117E-2</v>
      </c>
      <c r="AC10">
        <v>3.0000000000000401E-2</v>
      </c>
      <c r="AD10">
        <v>2.9999999999998958E-2</v>
      </c>
      <c r="AE10">
        <v>2.9999999999999995E-2</v>
      </c>
      <c r="AF10">
        <v>2.999999999999909E-2</v>
      </c>
      <c r="AG10">
        <v>3.0000000000000932E-2</v>
      </c>
      <c r="AH10">
        <v>2.999999999999917E-2</v>
      </c>
      <c r="AI10">
        <v>2.9999999999999624E-2</v>
      </c>
      <c r="AJ10">
        <v>3.0000000000000911E-2</v>
      </c>
      <c r="AK10">
        <v>3.0000000000000571E-2</v>
      </c>
      <c r="AL10">
        <v>2.9999999999999177E-2</v>
      </c>
      <c r="AM10">
        <v>2.9999999999998729E-2</v>
      </c>
      <c r="AN10">
        <v>3.0000000000000124E-2</v>
      </c>
      <c r="AO10">
        <v>3.0000000000000838E-2</v>
      </c>
      <c r="AP10">
        <v>3.0000000000001234E-2</v>
      </c>
      <c r="AQ10">
        <v>3.0000000000000672E-2</v>
      </c>
      <c r="AR10">
        <v>3.0000000000000155E-2</v>
      </c>
      <c r="AS10">
        <v>2.9999999999999461E-2</v>
      </c>
      <c r="AT10">
        <v>2.999999999999926E-2</v>
      </c>
      <c r="AU10">
        <v>3.0000000000002289E-2</v>
      </c>
      <c r="AV10">
        <v>2.9999999999999215E-2</v>
      </c>
      <c r="AW10">
        <v>3.0000000000000394E-2</v>
      </c>
      <c r="AX10">
        <v>2.9999999999999239E-2</v>
      </c>
      <c r="AY10">
        <v>2.9999999999998313E-2</v>
      </c>
      <c r="AZ10">
        <v>2.9999999999999541E-2</v>
      </c>
      <c r="BA10">
        <v>2.9999999999999968E-2</v>
      </c>
      <c r="BB10">
        <v>2.9999999999999184E-2</v>
      </c>
      <c r="BC10">
        <v>2.999999999999816E-2</v>
      </c>
      <c r="BD10">
        <v>2.9999999999999343E-2</v>
      </c>
      <c r="BE10">
        <v>3.0000000000000443E-2</v>
      </c>
      <c r="BF10">
        <v>3.0000000000000554E-2</v>
      </c>
      <c r="BG10">
        <v>2.9999999999999274E-2</v>
      </c>
      <c r="BH10">
        <v>3.000000000000105E-2</v>
      </c>
      <c r="BI10">
        <v>2.9999999999999746E-2</v>
      </c>
      <c r="BJ10">
        <v>2.9999999999999E-2</v>
      </c>
      <c r="BK10">
        <v>2.9999999999998913E-2</v>
      </c>
      <c r="BL10">
        <v>3.0000000000000526E-2</v>
      </c>
      <c r="BM10">
        <v>3.0000000000000516E-2</v>
      </c>
      <c r="BN10">
        <v>2.9999999999998413E-2</v>
      </c>
      <c r="BO10">
        <v>2.9999999999999225E-2</v>
      </c>
      <c r="BP10">
        <v>2.9999999999999954E-2</v>
      </c>
      <c r="BQ10">
        <v>2.9999999999998347E-2</v>
      </c>
      <c r="BR10">
        <v>3.0000000000000096E-2</v>
      </c>
      <c r="BS10">
        <v>3.0000000000001064E-2</v>
      </c>
      <c r="BT10">
        <v>3.0000000000000721E-2</v>
      </c>
      <c r="BU10">
        <v>2.9999999999999884E-2</v>
      </c>
      <c r="BV10">
        <v>3.0000000000000339E-2</v>
      </c>
      <c r="BW10">
        <v>3.0000000000000658E-2</v>
      </c>
      <c r="BX10">
        <v>3.0000000000000228E-2</v>
      </c>
      <c r="BY10">
        <v>2.9999999999999308E-2</v>
      </c>
      <c r="BZ10">
        <v>2.9999999999998569E-2</v>
      </c>
      <c r="CA10">
        <v>3.0000000000000027E-2</v>
      </c>
      <c r="CB10">
        <v>2.9999999999999829E-2</v>
      </c>
      <c r="CC10">
        <v>2.9999999999998535E-2</v>
      </c>
      <c r="CD10">
        <v>3.0000000000000023E-2</v>
      </c>
      <c r="CE10">
        <v>3.000000000000147E-2</v>
      </c>
      <c r="CF10">
        <v>2.9999999999998823E-2</v>
      </c>
      <c r="CG10">
        <v>3.0000000000000117E-2</v>
      </c>
      <c r="CH10">
        <v>2.9999999999999239E-2</v>
      </c>
      <c r="CI10">
        <v>2.9999999999999343E-2</v>
      </c>
      <c r="CJ10">
        <v>2.9999999999998812E-2</v>
      </c>
      <c r="CK10">
        <v>2.9999999999998927E-2</v>
      </c>
      <c r="CL10">
        <v>3.0000000000001022E-2</v>
      </c>
      <c r="CM10">
        <v>2.9999999999998701E-2</v>
      </c>
      <c r="CN10">
        <v>2.9999999999999853E-2</v>
      </c>
      <c r="CO10">
        <v>3.0000000000000838E-2</v>
      </c>
      <c r="CP10">
        <v>2.9999999999999562E-2</v>
      </c>
      <c r="CQ10">
        <v>2.9999999999997938E-2</v>
      </c>
      <c r="CR10">
        <v>2.9999999999999138E-2</v>
      </c>
      <c r="CS10">
        <v>2.9999999999999548E-2</v>
      </c>
      <c r="CT10">
        <v>2.9999999999999416E-2</v>
      </c>
      <c r="CU10">
        <v>2.9999999999999707E-2</v>
      </c>
      <c r="CV10">
        <v>3.0000000000000214E-2</v>
      </c>
      <c r="CW10">
        <v>3.00000000000007E-2</v>
      </c>
      <c r="CX10">
        <v>2.9999999999999152E-2</v>
      </c>
      <c r="CY10">
        <v>2.9999999999999496E-2</v>
      </c>
      <c r="CZ10">
        <v>3.0000000000000634E-2</v>
      </c>
      <c r="DA10">
        <v>2.9999999999998476E-2</v>
      </c>
      <c r="DB10">
        <v>0.03</v>
      </c>
      <c r="DC10">
        <v>3.0000000000002143E-2</v>
      </c>
      <c r="DD10">
        <v>2.9999999999999818E-2</v>
      </c>
      <c r="DE10">
        <v>2.9999999999999815E-2</v>
      </c>
      <c r="DF10">
        <v>3.0000000000000821E-2</v>
      </c>
      <c r="DG10">
        <v>2.9999999999999218E-2</v>
      </c>
      <c r="DH10">
        <v>2.9999999999999527E-2</v>
      </c>
      <c r="DI10">
        <v>3.0000000000000051E-2</v>
      </c>
      <c r="DJ10">
        <v>3.0000000000000585E-2</v>
      </c>
      <c r="DK10">
        <v>2.9999999999999076E-2</v>
      </c>
      <c r="DL10">
        <v>2.9999999999998871E-2</v>
      </c>
      <c r="DM10">
        <v>3.0000000000000738E-2</v>
      </c>
      <c r="DN10">
        <v>3.0000000000000849E-2</v>
      </c>
      <c r="DO10">
        <v>3.0000000000000235E-2</v>
      </c>
      <c r="DP10">
        <v>3.0000000000000457E-2</v>
      </c>
      <c r="DQ10">
        <v>3.0000000000000637E-2</v>
      </c>
      <c r="DR10">
        <v>3.0000000000000259E-2</v>
      </c>
      <c r="DS10">
        <v>2.9999999999998944E-2</v>
      </c>
      <c r="DT10">
        <v>2.9999999999999263E-2</v>
      </c>
      <c r="DU10">
        <v>2.9999999999999416E-2</v>
      </c>
      <c r="DV10">
        <v>2.9999999999999954E-2</v>
      </c>
      <c r="DW10">
        <v>3.0000000000000027E-2</v>
      </c>
      <c r="DX10">
        <v>3.000000000000044E-2</v>
      </c>
      <c r="DY10">
        <v>2.9999999999999194E-2</v>
      </c>
      <c r="DZ10">
        <v>2.9999999999999503E-2</v>
      </c>
      <c r="EA10">
        <v>3.0000000000001081E-2</v>
      </c>
      <c r="EB10">
        <v>2.9999999999999812E-2</v>
      </c>
      <c r="EC10">
        <v>3.0000000000000977E-2</v>
      </c>
      <c r="ED10">
        <v>3.0000000000000724E-2</v>
      </c>
      <c r="EE10">
        <v>2.9999999999998729E-2</v>
      </c>
      <c r="EF10">
        <v>2.9999999999998989E-2</v>
      </c>
      <c r="EG10">
        <v>3.0000000000001796E-2</v>
      </c>
      <c r="EH10">
        <v>2.9999999999999263E-2</v>
      </c>
      <c r="EI10">
        <v>2.99999999999991E-2</v>
      </c>
      <c r="EJ10">
        <v>2.9999999999998223E-2</v>
      </c>
      <c r="EK10">
        <v>2.9999999999997272E-2</v>
      </c>
      <c r="EL10">
        <v>2.9999999999998739E-2</v>
      </c>
      <c r="EM10">
        <v>2.9999999999999079E-2</v>
      </c>
      <c r="EN10">
        <v>3.0000000000000023E-2</v>
      </c>
      <c r="EO10">
        <v>2.9999999999999933E-2</v>
      </c>
      <c r="EP10">
        <v>2.9999999999998209E-2</v>
      </c>
      <c r="EQ10">
        <v>2.9999999999999364E-2</v>
      </c>
      <c r="ER10">
        <v>3.0000000000001175E-2</v>
      </c>
      <c r="ES10">
        <v>2.9999999999999721E-2</v>
      </c>
      <c r="ET10">
        <v>3.0000000000000991E-2</v>
      </c>
      <c r="EU10">
        <v>2.9999999999999496E-2</v>
      </c>
      <c r="EV10">
        <v>2.999999999999944E-2</v>
      </c>
      <c r="EW10">
        <v>2.9999999999999177E-2</v>
      </c>
      <c r="EX10">
        <v>3.000000000000044E-2</v>
      </c>
      <c r="EY10">
        <v>3.0000000000000131E-2</v>
      </c>
      <c r="EZ10">
        <v>2.9999999999998608E-2</v>
      </c>
      <c r="FA10">
        <v>2.9999999999999225E-2</v>
      </c>
      <c r="FB10">
        <v>3.0000000000000027E-2</v>
      </c>
      <c r="FC10">
        <v>2.9999999999999884E-2</v>
      </c>
      <c r="FD10">
        <v>3.0000000000000339E-2</v>
      </c>
      <c r="FE10">
        <v>3.0000000000000342E-2</v>
      </c>
      <c r="FF10">
        <v>2.9999999999999642E-2</v>
      </c>
      <c r="FG10">
        <v>2.9999999999999683E-2</v>
      </c>
      <c r="FH10">
        <v>3.0000000000001435E-2</v>
      </c>
      <c r="FI10">
        <v>2.9999999999998268E-2</v>
      </c>
      <c r="FJ10">
        <v>3.0000000000001206E-2</v>
      </c>
      <c r="FK10">
        <v>2.9999999999998934E-2</v>
      </c>
      <c r="FL10">
        <v>2.9999999999998486E-2</v>
      </c>
      <c r="FM10">
        <v>2.9999999999999225E-2</v>
      </c>
      <c r="FN10">
        <v>3.0000000000000169E-2</v>
      </c>
      <c r="FO10">
        <v>2.9999999999999815E-2</v>
      </c>
      <c r="FP10">
        <v>2.9999999999999961E-2</v>
      </c>
      <c r="FQ10">
        <v>3.0000000000000061E-2</v>
      </c>
      <c r="FR10">
        <v>2.9999999999998472E-2</v>
      </c>
      <c r="FS10">
        <v>2.9999999999999843E-2</v>
      </c>
      <c r="FT10">
        <v>2.9999999999996699E-2</v>
      </c>
      <c r="FU10">
        <v>2.999999999999986E-2</v>
      </c>
      <c r="FV10">
        <v>2.9999999999999843E-2</v>
      </c>
      <c r="FW10">
        <v>2.9999999999999624E-2</v>
      </c>
      <c r="FX10">
        <v>2.9999999999999787E-2</v>
      </c>
      <c r="FY10">
        <v>3.0000000000001283E-2</v>
      </c>
      <c r="FZ10">
        <v>2.9999999999999829E-2</v>
      </c>
      <c r="GA10">
        <v>3.0000000000000065E-2</v>
      </c>
      <c r="GB10">
        <v>2.9999999999999354E-2</v>
      </c>
      <c r="GC10">
        <v>2.999999999999927E-2</v>
      </c>
      <c r="GD10">
        <v>2.9999999999999544E-2</v>
      </c>
      <c r="GE10">
        <v>2.9999999999998282E-2</v>
      </c>
      <c r="GF10">
        <v>3.0000000000001081E-2</v>
      </c>
      <c r="GG10">
        <v>3.0000000000000464E-2</v>
      </c>
      <c r="GH10">
        <v>3.0000000000000537E-2</v>
      </c>
      <c r="GI10">
        <v>3.0000000000000505E-2</v>
      </c>
      <c r="GJ10">
        <v>3.0000000000001425E-2</v>
      </c>
      <c r="GK10">
        <v>3.0000000000000457E-2</v>
      </c>
      <c r="GL10">
        <v>3.0000000000000342E-2</v>
      </c>
      <c r="GM10">
        <v>3.0000000000001501E-2</v>
      </c>
      <c r="GN10">
        <v>3.0000000000000131E-2</v>
      </c>
      <c r="GO10">
        <v>2.9999999999997654E-2</v>
      </c>
      <c r="GP10">
        <v>2.9999999999999329E-2</v>
      </c>
      <c r="GQ10">
        <v>3.0000000000001314E-2</v>
      </c>
      <c r="GR10">
        <v>3.0000000000001466E-2</v>
      </c>
      <c r="GS10">
        <v>2.9999999999999579E-2</v>
      </c>
      <c r="GT10">
        <v>2.999999999999781E-2</v>
      </c>
      <c r="GU10">
        <v>3.0000000000000679E-2</v>
      </c>
      <c r="GV10">
        <v>2.999999999999815E-2</v>
      </c>
      <c r="GW10">
        <v>3.0000000000000162E-2</v>
      </c>
      <c r="GX10">
        <v>2.9999999999999978E-2</v>
      </c>
      <c r="GY10">
        <v>2.9999999999998691E-2</v>
      </c>
      <c r="GZ10">
        <v>2.9999999999999756E-2</v>
      </c>
      <c r="HA10">
        <v>3.0000000000000176E-2</v>
      </c>
      <c r="HB10">
        <v>2.999999999999995E-2</v>
      </c>
      <c r="HC10">
        <v>3.0000000000000228E-2</v>
      </c>
      <c r="HD10">
        <v>3.0000000000000464E-2</v>
      </c>
      <c r="HE10">
        <v>2.9999999999998243E-2</v>
      </c>
      <c r="HF10">
        <v>2.9999999999999066E-2</v>
      </c>
      <c r="HG10">
        <v>3.0000000000000238E-2</v>
      </c>
      <c r="HH10">
        <v>3.0000000000000054E-2</v>
      </c>
      <c r="HI10">
        <v>2.99999999999985E-2</v>
      </c>
      <c r="HJ10">
        <v>2.9999999999998472E-2</v>
      </c>
      <c r="HK10">
        <v>2.9999999999998316E-2</v>
      </c>
      <c r="HL10">
        <v>3.0000000000000124E-2</v>
      </c>
      <c r="HM10">
        <v>3.0000000000000349E-2</v>
      </c>
      <c r="HN10">
        <v>2.9999999999997445E-2</v>
      </c>
      <c r="HO10">
        <v>3.0000000000000988E-2</v>
      </c>
      <c r="HP10">
        <v>2.999999999999961E-2</v>
      </c>
      <c r="HQ10">
        <v>3.0000000000000953E-2</v>
      </c>
      <c r="HR10">
        <v>2.9999999999999572E-2</v>
      </c>
      <c r="HS10">
        <v>2.9999999999999173E-2</v>
      </c>
      <c r="HT10">
        <v>2.9999999999998563E-2</v>
      </c>
      <c r="HU10">
        <v>2.9999999999999381E-2</v>
      </c>
      <c r="HV10">
        <v>3.0000000000000013E-2</v>
      </c>
      <c r="HW10">
        <v>2.9999999999999742E-2</v>
      </c>
      <c r="HX10">
        <v>3.0000000000000953E-2</v>
      </c>
      <c r="HY10">
        <v>3.0000000000001054E-2</v>
      </c>
      <c r="HZ10">
        <v>2.999999999999859E-2</v>
      </c>
      <c r="IA10">
        <v>3.0000000000000884E-2</v>
      </c>
      <c r="IB10">
        <v>3.0000000000000217E-2</v>
      </c>
      <c r="IC10">
        <v>2.99999999999996E-2</v>
      </c>
      <c r="ID10">
        <v>3.0000000000000519E-2</v>
      </c>
      <c r="IE10">
        <v>2.999999999999918E-2</v>
      </c>
      <c r="IF10">
        <v>2.9999999999998851E-2</v>
      </c>
      <c r="IG10">
        <v>2.9999999999999208E-2</v>
      </c>
      <c r="IH10">
        <v>2.9999999999999537E-2</v>
      </c>
      <c r="II10">
        <v>2.9999999999999239E-2</v>
      </c>
      <c r="IJ10">
        <v>3.0000000000000086E-2</v>
      </c>
      <c r="IK10">
        <v>2.9999999999999739E-2</v>
      </c>
      <c r="IL10">
        <v>2.999999999999825E-2</v>
      </c>
      <c r="IM10">
        <v>2.9999999999999239E-2</v>
      </c>
      <c r="IN10">
        <v>2.9999999999998927E-2</v>
      </c>
      <c r="IO10">
        <v>2.999999999999961E-2</v>
      </c>
      <c r="IP10">
        <v>3.0000000000000027E-2</v>
      </c>
      <c r="IQ10">
        <v>2.9999999999998812E-2</v>
      </c>
      <c r="IR10">
        <v>2.9999999999999402E-2</v>
      </c>
      <c r="IS10">
        <v>3.0000000000000585E-2</v>
      </c>
      <c r="IT10">
        <v>2.999999999999918E-2</v>
      </c>
      <c r="IU10">
        <v>2.999999999999968E-2</v>
      </c>
      <c r="IV10">
        <v>2.9999999999999936E-2</v>
      </c>
    </row>
    <row r="11" spans="5:256" x14ac:dyDescent="0.15">
      <c r="E11">
        <v>2.9811993756089904E-2</v>
      </c>
      <c r="F11">
        <v>1.7116484747497114E-5</v>
      </c>
      <c r="J11" s="17">
        <v>3.169068660480763E-2</v>
      </c>
      <c r="K11" s="17">
        <v>2.668910367831287E-2</v>
      </c>
      <c r="L11" s="17">
        <v>3.2952426626067392E-2</v>
      </c>
      <c r="M11" s="17">
        <v>3.5601476601878415E-2</v>
      </c>
      <c r="N11" s="17">
        <v>3.2492180352091192E-2</v>
      </c>
      <c r="O11" s="17">
        <v>2.725912088131827E-2</v>
      </c>
      <c r="P11" s="17">
        <v>1.9971503383668966E-2</v>
      </c>
      <c r="Q11" s="17">
        <v>3.9950265549783433E-2</v>
      </c>
      <c r="R11" s="17">
        <v>3.1034735914312338E-2</v>
      </c>
      <c r="S11" s="17">
        <v>2.7240653995990422E-2</v>
      </c>
      <c r="T11">
        <v>3.4151309278833183E-2</v>
      </c>
      <c r="U11">
        <v>2.4138282138431031E-2</v>
      </c>
      <c r="V11">
        <v>2.8391706093643988E-2</v>
      </c>
      <c r="W11">
        <v>2.9687098635413859E-2</v>
      </c>
      <c r="X11">
        <v>2.988589357018143E-2</v>
      </c>
      <c r="Y11">
        <v>3.8145948027248189E-2</v>
      </c>
      <c r="Z11">
        <v>3.1071801212030736E-2</v>
      </c>
      <c r="AA11">
        <v>3.070539057832606E-2</v>
      </c>
      <c r="AB11">
        <v>2.5723770891273229E-2</v>
      </c>
      <c r="AC11">
        <v>2.0254093066967811E-2</v>
      </c>
      <c r="AD11">
        <v>2.9152135710781436E-2</v>
      </c>
      <c r="AE11">
        <v>3.1007004899454231E-2</v>
      </c>
      <c r="AF11">
        <v>2.2217853781111394E-2</v>
      </c>
      <c r="AG11">
        <v>2.2792712998655987E-2</v>
      </c>
      <c r="AH11">
        <v>3.1189956905331346E-2</v>
      </c>
      <c r="AI11">
        <v>3.0895230621083652E-2</v>
      </c>
      <c r="AJ11">
        <v>3.6325834914341187E-2</v>
      </c>
      <c r="AK11">
        <v>3.0779511645877437E-2</v>
      </c>
      <c r="AL11">
        <v>3.2338134203973558E-2</v>
      </c>
      <c r="AM11">
        <v>2.2724563370713047E-2</v>
      </c>
      <c r="AN11">
        <v>3.389014648238755E-2</v>
      </c>
      <c r="AO11">
        <v>2.8434264539264759E-2</v>
      </c>
      <c r="AP11">
        <v>3.2824064947917626E-2</v>
      </c>
      <c r="AQ11">
        <v>3.3660688093015922E-2</v>
      </c>
      <c r="AR11">
        <v>2.645393100406445E-2</v>
      </c>
      <c r="AS11">
        <v>3.6702650442013846E-2</v>
      </c>
      <c r="AT11">
        <v>3.0786637179959445E-2</v>
      </c>
      <c r="AU11">
        <v>3.2684439470183631E-2</v>
      </c>
      <c r="AV11">
        <v>2.0261983471618856E-2</v>
      </c>
      <c r="AW11">
        <v>2.3277831584954795E-2</v>
      </c>
      <c r="AX11">
        <v>3.1323798275287293E-2</v>
      </c>
      <c r="AY11">
        <v>2.1475873258216656E-2</v>
      </c>
      <c r="AZ11">
        <v>3.0508309222336438E-2</v>
      </c>
      <c r="BA11">
        <v>2.9019821501367955E-2</v>
      </c>
      <c r="BB11">
        <v>3.2738104235472375E-2</v>
      </c>
      <c r="BC11">
        <v>2.7288106450647866E-2</v>
      </c>
      <c r="BD11">
        <v>2.9049726007989701E-2</v>
      </c>
      <c r="BE11">
        <v>3.3305771537034762E-2</v>
      </c>
      <c r="BF11">
        <v>3.2139813783294932E-2</v>
      </c>
      <c r="BG11">
        <v>2.9433644328344589E-2</v>
      </c>
      <c r="BH11">
        <v>3.2852092434842425E-2</v>
      </c>
      <c r="BI11">
        <v>3.236596625772007E-2</v>
      </c>
      <c r="BJ11">
        <v>3.2700501831997859E-2</v>
      </c>
      <c r="BK11">
        <v>2.7694771592792409E-2</v>
      </c>
      <c r="BL11">
        <v>3.3752323217335838E-2</v>
      </c>
      <c r="BM11">
        <v>2.5655875016586123E-2</v>
      </c>
      <c r="BN11">
        <v>3.6176701033655514E-2</v>
      </c>
      <c r="BO11">
        <v>2.7319025176569429E-2</v>
      </c>
      <c r="BP11">
        <v>3.2243955651695418E-2</v>
      </c>
      <c r="BQ11">
        <v>3.2923267282468777E-2</v>
      </c>
      <c r="BR11">
        <v>3.444251879662158E-2</v>
      </c>
      <c r="BS11">
        <v>3.530066194940961E-2</v>
      </c>
      <c r="BT11">
        <v>2.8408656545454384E-2</v>
      </c>
      <c r="BU11">
        <v>2.7971731697152929E-2</v>
      </c>
      <c r="BV11">
        <v>3.1041394508611604E-2</v>
      </c>
      <c r="BW11">
        <v>2.4464265889182372E-2</v>
      </c>
      <c r="BX11">
        <v>3.1980744081918012E-2</v>
      </c>
      <c r="BY11">
        <v>3.1531593242800207E-2</v>
      </c>
      <c r="BZ11">
        <v>2.6020073383985955E-2</v>
      </c>
      <c r="CA11">
        <v>3.8987709669208968E-2</v>
      </c>
      <c r="CB11">
        <v>2.8622297911034905E-2</v>
      </c>
      <c r="CC11">
        <v>3.0731532688649567E-2</v>
      </c>
      <c r="CD11">
        <v>2.2250813366463621E-2</v>
      </c>
      <c r="CE11">
        <v>3.5547944705126365E-2</v>
      </c>
      <c r="CF11">
        <v>2.4599609421775376E-2</v>
      </c>
      <c r="CG11">
        <v>3.3170945711769595E-2</v>
      </c>
      <c r="CH11">
        <v>2.9303857456079132E-2</v>
      </c>
      <c r="CI11">
        <v>2.9546890027829641E-2</v>
      </c>
      <c r="CJ11">
        <v>2.9653285862161979E-2</v>
      </c>
      <c r="CK11">
        <v>2.6757013706317834E-2</v>
      </c>
      <c r="CL11">
        <v>3.8861275577916285E-2</v>
      </c>
      <c r="CM11">
        <v>3.1118719956178431E-2</v>
      </c>
      <c r="CN11">
        <v>3.4478755589432142E-2</v>
      </c>
      <c r="CO11">
        <v>3.3276989947527182E-2</v>
      </c>
      <c r="CP11">
        <v>2.7000600933185234E-2</v>
      </c>
      <c r="CQ11">
        <v>2.9872214355637642E-2</v>
      </c>
      <c r="CR11">
        <v>3.0265643391202364E-2</v>
      </c>
      <c r="CS11">
        <v>2.7391323542473183E-2</v>
      </c>
      <c r="CT11">
        <v>2.8310635263519759E-2</v>
      </c>
      <c r="CU11">
        <v>3.2261162236047906E-2</v>
      </c>
      <c r="CV11">
        <v>3.4296825751998515E-2</v>
      </c>
      <c r="CW11">
        <v>3.0820141701179901E-2</v>
      </c>
      <c r="CX11">
        <v>3.5585261288042937E-2</v>
      </c>
      <c r="CY11">
        <v>3.1251037218030651E-2</v>
      </c>
      <c r="CZ11">
        <v>3.3522795957824314E-2</v>
      </c>
      <c r="DA11">
        <v>3.2503122928657424E-2</v>
      </c>
      <c r="DB11">
        <v>2.7150655386556897E-2</v>
      </c>
      <c r="DC11">
        <v>3.0176112070462602E-2</v>
      </c>
      <c r="DD11">
        <v>2.7317978474055944E-2</v>
      </c>
      <c r="DE11">
        <v>2.9139280196368918E-2</v>
      </c>
      <c r="DF11">
        <v>3.0303590957905944E-2</v>
      </c>
      <c r="DG11">
        <v>2.877521197058442E-2</v>
      </c>
      <c r="DH11">
        <v>2.8116482585901367E-2</v>
      </c>
      <c r="DI11">
        <v>3.1316884070223018E-2</v>
      </c>
      <c r="DJ11">
        <v>2.6060710365932667E-2</v>
      </c>
      <c r="DK11">
        <v>2.4287181430185874E-2</v>
      </c>
      <c r="DL11">
        <v>3.2312067959487142E-2</v>
      </c>
      <c r="DM11">
        <v>2.8916190682668156E-2</v>
      </c>
      <c r="DN11">
        <v>3.2002260582022282E-2</v>
      </c>
      <c r="DO11">
        <v>2.2912061811063946E-2</v>
      </c>
      <c r="DP11">
        <v>2.2290410099193206E-2</v>
      </c>
      <c r="DQ11">
        <v>3.3179550835771898E-2</v>
      </c>
      <c r="DR11">
        <v>3.378349353542294E-2</v>
      </c>
      <c r="DS11">
        <v>3.0150570131163824E-2</v>
      </c>
      <c r="DT11">
        <v>3.4145512725316483E-2</v>
      </c>
      <c r="DU11">
        <v>2.9404110214891931E-2</v>
      </c>
      <c r="DV11">
        <v>2.7360904893911943E-2</v>
      </c>
      <c r="DW11">
        <v>3.0541566974409438E-2</v>
      </c>
      <c r="DX11">
        <v>3.0839237248593301E-2</v>
      </c>
      <c r="DY11">
        <v>3.2200998316327362E-2</v>
      </c>
      <c r="DZ11">
        <v>2.2690531616604781E-2</v>
      </c>
      <c r="EA11">
        <v>3.7683228508458455E-2</v>
      </c>
      <c r="EB11">
        <v>3.154118720057171E-2</v>
      </c>
      <c r="EC11">
        <v>2.8312166188257784E-2</v>
      </c>
      <c r="ED11">
        <v>2.610776625854078E-2</v>
      </c>
      <c r="EE11">
        <v>2.9266708770984185E-2</v>
      </c>
      <c r="EF11">
        <v>2.7078749156388686E-2</v>
      </c>
      <c r="EG11">
        <v>3.1135432931103501E-2</v>
      </c>
      <c r="EH11">
        <v>2.2920113656623966E-2</v>
      </c>
      <c r="EI11">
        <v>2.511804929212438E-2</v>
      </c>
      <c r="EJ11">
        <v>2.894669647725321E-2</v>
      </c>
      <c r="EK11">
        <v>2.7932301529752131E-2</v>
      </c>
      <c r="EL11">
        <v>3.5727671557500541E-2</v>
      </c>
      <c r="EM11">
        <v>2.7473065658452193E-2</v>
      </c>
      <c r="EN11">
        <v>2.6553581262294582E-2</v>
      </c>
      <c r="EO11">
        <v>3.2601815996528345E-2</v>
      </c>
      <c r="EP11">
        <v>2.7489307447450036E-2</v>
      </c>
      <c r="EQ11">
        <v>3.47283832160976E-2</v>
      </c>
      <c r="ER11">
        <v>3.0909500349430571E-2</v>
      </c>
      <c r="ES11">
        <v>3.1481189184303385E-2</v>
      </c>
      <c r="ET11">
        <v>3.4063101970755565E-2</v>
      </c>
      <c r="EU11">
        <v>2.9217356747402241E-2</v>
      </c>
      <c r="EV11">
        <v>2.7440543523915398E-2</v>
      </c>
      <c r="EW11">
        <v>2.92581838536628E-2</v>
      </c>
      <c r="EX11">
        <v>2.9681876025269179E-2</v>
      </c>
      <c r="EY11">
        <v>2.6803468548923751E-2</v>
      </c>
      <c r="EZ11">
        <v>3.5371923845690566E-2</v>
      </c>
      <c r="FA11">
        <v>4.0247479794740186E-2</v>
      </c>
      <c r="FB11">
        <v>3.5104418581077955E-2</v>
      </c>
      <c r="FC11">
        <v>3.1688330663476136E-2</v>
      </c>
      <c r="FD11">
        <v>2.5652727656422163E-2</v>
      </c>
      <c r="FE11">
        <v>3.1755778067696798E-2</v>
      </c>
      <c r="FF11">
        <v>2.7757334981816015E-2</v>
      </c>
      <c r="FG11">
        <v>2.9345838182010194E-2</v>
      </c>
      <c r="FH11">
        <v>2.8518199855222626E-2</v>
      </c>
      <c r="FI11">
        <v>2.8461072454268512E-2</v>
      </c>
      <c r="FJ11">
        <v>2.0212012317909513E-2</v>
      </c>
      <c r="FK11">
        <v>3.1335491582510172E-2</v>
      </c>
      <c r="FL11">
        <v>2.181332720686957E-2</v>
      </c>
      <c r="FM11">
        <v>2.8766021479602548E-2</v>
      </c>
      <c r="FN11">
        <v>2.7382362723864542E-2</v>
      </c>
      <c r="FO11">
        <v>2.7760283877443673E-2</v>
      </c>
      <c r="FP11">
        <v>2.6882132607444733E-2</v>
      </c>
      <c r="FQ11">
        <v>3.2100847718777983E-2</v>
      </c>
      <c r="FR11">
        <v>3.0938067615429755E-2</v>
      </c>
      <c r="FS11">
        <v>4.1242786427120107E-2</v>
      </c>
      <c r="FT11">
        <v>2.7375772909274714E-2</v>
      </c>
      <c r="FU11">
        <v>3.3204029863190966E-2</v>
      </c>
      <c r="FV11">
        <v>3.1478413783160283E-2</v>
      </c>
      <c r="FW11">
        <v>2.9484027510349523E-2</v>
      </c>
      <c r="FX11">
        <v>3.7983261065803395E-2</v>
      </c>
      <c r="FY11">
        <v>3.1226176107541682E-2</v>
      </c>
      <c r="FZ11">
        <v>2.4679052343591353E-2</v>
      </c>
      <c r="GA11">
        <v>3.3204257837497517E-2</v>
      </c>
      <c r="GB11">
        <v>2.8605266168048451E-2</v>
      </c>
      <c r="GC11">
        <v>3.0081240372785818E-2</v>
      </c>
      <c r="GD11">
        <v>2.2939219263078431E-2</v>
      </c>
      <c r="GE11">
        <v>2.4234444576159739E-2</v>
      </c>
      <c r="GF11">
        <v>2.8896007142562852E-2</v>
      </c>
      <c r="GG11">
        <v>3.09161537285302E-2</v>
      </c>
      <c r="GH11">
        <v>2.9020036593006796E-2</v>
      </c>
      <c r="GI11">
        <v>2.3121091064320247E-2</v>
      </c>
      <c r="GJ11">
        <v>3.0012676629981402E-2</v>
      </c>
      <c r="GK11">
        <v>2.6877306146653651E-2</v>
      </c>
      <c r="GL11">
        <v>2.9887621876309271E-2</v>
      </c>
      <c r="GM11">
        <v>3.0027437827107355E-2</v>
      </c>
      <c r="GN11">
        <v>2.6442601454726926E-2</v>
      </c>
      <c r="GO11">
        <v>3.146365614844597E-2</v>
      </c>
      <c r="GP11">
        <v>3.1053138462370164E-2</v>
      </c>
      <c r="GQ11">
        <v>2.9238199879619432E-2</v>
      </c>
      <c r="GR11">
        <v>2.793352617815022E-2</v>
      </c>
      <c r="GS11">
        <v>2.4029895570187094E-2</v>
      </c>
      <c r="GT11">
        <v>2.5583621269479259E-2</v>
      </c>
      <c r="GU11">
        <v>2.6697447612563749E-2</v>
      </c>
      <c r="GV11">
        <v>2.2514301762477314E-2</v>
      </c>
      <c r="GW11">
        <v>3.45607755475359E-2</v>
      </c>
      <c r="GX11">
        <v>3.4739556765086166E-2</v>
      </c>
      <c r="GY11">
        <v>2.9606843653212155E-2</v>
      </c>
      <c r="GZ11">
        <v>3.1229277733395705E-2</v>
      </c>
      <c r="HA11">
        <v>2.7584322606667391E-2</v>
      </c>
      <c r="HB11">
        <v>2.8757540371323845E-2</v>
      </c>
      <c r="HC11">
        <v>2.6837849174747304E-2</v>
      </c>
      <c r="HD11">
        <v>2.5276958852551101E-2</v>
      </c>
      <c r="HE11">
        <v>3.1294355143954129E-2</v>
      </c>
      <c r="HF11">
        <v>3.2217246807175345E-2</v>
      </c>
      <c r="HG11">
        <v>2.6884139014696103E-2</v>
      </c>
      <c r="HH11">
        <v>3.4149952417524013E-2</v>
      </c>
      <c r="HI11">
        <v>2.7309500444699941E-2</v>
      </c>
      <c r="HJ11">
        <v>3.7120835156226668E-2</v>
      </c>
      <c r="HK11">
        <v>2.8905549395990191E-2</v>
      </c>
      <c r="HL11">
        <v>2.8885282850312381E-2</v>
      </c>
      <c r="HM11">
        <v>3.0923191820294637E-2</v>
      </c>
      <c r="HN11">
        <v>2.5619342480141142E-2</v>
      </c>
      <c r="HO11">
        <v>2.2035460139325069E-2</v>
      </c>
      <c r="HP11">
        <v>3.2289125406004378E-2</v>
      </c>
      <c r="HQ11">
        <v>3.7021065354074789E-2</v>
      </c>
      <c r="HR11">
        <v>3.254745495568042E-2</v>
      </c>
      <c r="HS11">
        <v>2.6840432935548622E-2</v>
      </c>
      <c r="HT11">
        <v>3.05324338592118E-2</v>
      </c>
      <c r="HU11">
        <v>3.2043835589669639E-2</v>
      </c>
      <c r="HV11">
        <v>2.278710977521746E-2</v>
      </c>
      <c r="HW11">
        <v>2.3543621699848208E-2</v>
      </c>
      <c r="HX11">
        <v>3.1286128626979277E-2</v>
      </c>
      <c r="HY11">
        <v>2.646021181492526E-2</v>
      </c>
      <c r="HZ11">
        <v>3.5488274251510861E-2</v>
      </c>
      <c r="IA11">
        <v>2.7187945259764562E-2</v>
      </c>
      <c r="IB11">
        <v>2.2856588552208543E-2</v>
      </c>
      <c r="IC11">
        <v>3.8522148240498627E-2</v>
      </c>
      <c r="ID11">
        <v>3.5383192175122327E-2</v>
      </c>
      <c r="IE11">
        <v>2.7015838845119107E-2</v>
      </c>
      <c r="IF11">
        <v>3.2290807712709459E-2</v>
      </c>
      <c r="IG11">
        <v>2.839380640547674E-2</v>
      </c>
      <c r="IH11">
        <v>3.4786079374290714E-2</v>
      </c>
      <c r="II11">
        <v>2.7092496357177129E-2</v>
      </c>
      <c r="IJ11">
        <v>2.8491744443445662E-2</v>
      </c>
      <c r="IK11">
        <v>3.6305507952400055E-2</v>
      </c>
      <c r="IL11">
        <v>3.8163545552678486E-2</v>
      </c>
      <c r="IM11">
        <v>2.9234958285978864E-2</v>
      </c>
      <c r="IN11">
        <v>3.0771053616596201E-2</v>
      </c>
      <c r="IO11">
        <v>2.1659277107793889E-2</v>
      </c>
    </row>
    <row r="12" spans="5:256" x14ac:dyDescent="0.15">
      <c r="E12">
        <v>2.9960378327556523E-2</v>
      </c>
      <c r="F12">
        <v>6.2164251139931723E-5</v>
      </c>
      <c r="J12" s="17">
        <v>3.8664072011024689E-2</v>
      </c>
      <c r="K12" s="17">
        <v>3.066281872087891E-2</v>
      </c>
      <c r="L12" s="17">
        <v>2.5842687165222037E-2</v>
      </c>
      <c r="M12" s="17">
        <v>2.7109848569229416E-2</v>
      </c>
      <c r="N12" s="17">
        <v>3.2426044819296736E-2</v>
      </c>
      <c r="O12" s="17">
        <v>3.1792690208459609E-2</v>
      </c>
      <c r="P12" s="17">
        <v>1.5816873992786886E-2</v>
      </c>
      <c r="Q12" s="17">
        <v>4.7416274574879097E-2</v>
      </c>
      <c r="R12" s="17">
        <v>2.0453121443228608E-2</v>
      </c>
      <c r="S12" s="17">
        <v>3.5503419730624167E-2</v>
      </c>
      <c r="T12">
        <v>3.0464822665994595E-2</v>
      </c>
      <c r="U12">
        <v>2.7723342300757559E-2</v>
      </c>
      <c r="V12">
        <v>3.7442043441206913E-2</v>
      </c>
      <c r="W12">
        <v>3.8758657041389796E-2</v>
      </c>
      <c r="X12">
        <v>3.5197033100562103E-2</v>
      </c>
      <c r="Y12">
        <v>3.7537517194771108E-2</v>
      </c>
      <c r="Z12">
        <v>3.1488447790528749E-2</v>
      </c>
      <c r="AA12">
        <v>2.8739425384748375E-2</v>
      </c>
      <c r="AB12">
        <v>2.5491336638689702E-2</v>
      </c>
      <c r="AC12">
        <v>1.814677973849587E-2</v>
      </c>
      <c r="AD12">
        <v>3.766635697459899E-2</v>
      </c>
      <c r="AE12">
        <v>4.3142713237412728E-2</v>
      </c>
      <c r="AF12">
        <v>2.2975479328496303E-2</v>
      </c>
      <c r="AG12">
        <v>2.3043360193665315E-2</v>
      </c>
      <c r="AH12">
        <v>2.7429147943198558E-2</v>
      </c>
      <c r="AI12">
        <v>4.8752825897119025E-2</v>
      </c>
      <c r="AJ12">
        <v>4.6985707309838115E-2</v>
      </c>
      <c r="AK12">
        <v>4.3038775344897778E-2</v>
      </c>
      <c r="AL12">
        <v>2.4222086038594874E-2</v>
      </c>
      <c r="AM12">
        <v>1.9270277591021581E-2</v>
      </c>
      <c r="AN12">
        <v>3.2584312638454987E-2</v>
      </c>
      <c r="AO12">
        <v>4.7471162503803975E-2</v>
      </c>
      <c r="AP12">
        <v>4.2069042959043637E-2</v>
      </c>
      <c r="AQ12">
        <v>2.5734754323118017E-2</v>
      </c>
      <c r="AR12">
        <v>2.2270309988744148E-2</v>
      </c>
      <c r="AS12">
        <v>3.8473869413595117E-2</v>
      </c>
      <c r="AT12">
        <v>2.0342963233089553E-2</v>
      </c>
      <c r="AU12">
        <v>2.7777860235229143E-2</v>
      </c>
      <c r="AV12">
        <v>1.5284934032999716E-2</v>
      </c>
      <c r="AW12">
        <v>2.1692911699098406E-2</v>
      </c>
      <c r="AX12">
        <v>2.5016293759799961E-2</v>
      </c>
      <c r="AY12">
        <v>1.9368116798022968E-2</v>
      </c>
      <c r="AZ12">
        <v>3.9265724511718128E-2</v>
      </c>
      <c r="BA12">
        <v>1.9595922110916545E-2</v>
      </c>
      <c r="BB12">
        <v>2.8455928786631286E-2</v>
      </c>
      <c r="BC12">
        <v>1.9655547250978629E-2</v>
      </c>
      <c r="BD12">
        <v>2.803767366228984E-2</v>
      </c>
      <c r="BE12">
        <v>3.5664153351197506E-2</v>
      </c>
      <c r="BF12">
        <v>2.8074901486119977E-2</v>
      </c>
      <c r="BG12">
        <v>2.4329711571073009E-2</v>
      </c>
      <c r="BH12">
        <v>3.0069757243724515E-2</v>
      </c>
      <c r="BI12">
        <v>3.0422606586922189E-2</v>
      </c>
      <c r="BJ12">
        <v>3.4364752729311866E-2</v>
      </c>
      <c r="BK12">
        <v>2.2199614369521937E-2</v>
      </c>
      <c r="BL12">
        <v>3.3410915741137845E-2</v>
      </c>
      <c r="BM12">
        <v>2.2240188638357455E-2</v>
      </c>
      <c r="BN12">
        <v>4.1056687413237813E-2</v>
      </c>
      <c r="BO12">
        <v>2.4668348714816629E-2</v>
      </c>
      <c r="BP12">
        <v>4.3757873870661483E-2</v>
      </c>
      <c r="BQ12">
        <v>2.8906291067544228E-2</v>
      </c>
      <c r="BR12">
        <v>3.0348584420863016E-2</v>
      </c>
      <c r="BS12">
        <v>2.8060653032776887E-2</v>
      </c>
      <c r="BT12">
        <v>3.5123511370599242E-2</v>
      </c>
      <c r="BU12">
        <v>1.9481198847081112E-2</v>
      </c>
      <c r="BV12">
        <v>3.2041396624149739E-2</v>
      </c>
      <c r="BW12">
        <v>1.9562255369152182E-2</v>
      </c>
      <c r="BX12">
        <v>3.056887805474048E-2</v>
      </c>
      <c r="BY12">
        <v>3.1737259349100079E-2</v>
      </c>
      <c r="BZ12">
        <v>3.6400499946657887E-2</v>
      </c>
      <c r="CA12">
        <v>4.0942910288736721E-2</v>
      </c>
      <c r="CB12">
        <v>1.6798939809684239E-2</v>
      </c>
      <c r="CC12">
        <v>3.3134676004096267E-2</v>
      </c>
      <c r="CD12">
        <v>2.0900928147818142E-2</v>
      </c>
      <c r="CE12">
        <v>2.7507462341196005E-2</v>
      </c>
      <c r="CF12">
        <v>2.1946448857853112E-2</v>
      </c>
      <c r="CG12">
        <v>3.6109835631286544E-2</v>
      </c>
      <c r="CH12">
        <v>2.5348401953785404E-2</v>
      </c>
      <c r="CI12">
        <v>3.2635094978576383E-2</v>
      </c>
      <c r="CJ12">
        <v>2.9029549861655065E-2</v>
      </c>
      <c r="CK12">
        <v>1.5686800694611615E-2</v>
      </c>
      <c r="CL12">
        <v>5.625413402037862E-2</v>
      </c>
      <c r="CM12">
        <v>3.2656226908241694E-2</v>
      </c>
      <c r="CN12">
        <v>4.1212363746881427E-2</v>
      </c>
      <c r="CO12">
        <v>3.0416094437629392E-2</v>
      </c>
      <c r="CP12">
        <v>2.7909720148835741E-2</v>
      </c>
      <c r="CQ12">
        <v>4.6124872902052229E-2</v>
      </c>
      <c r="CR12">
        <v>3.3150072050731012E-2</v>
      </c>
      <c r="CS12">
        <v>2.1295867714371908E-2</v>
      </c>
      <c r="CT12">
        <v>2.4025438526849501E-2</v>
      </c>
      <c r="CU12">
        <v>4.021891544151672E-2</v>
      </c>
      <c r="CV12">
        <v>3.2331713046596114E-2</v>
      </c>
      <c r="CW12">
        <v>1.8917987870565318E-2</v>
      </c>
      <c r="CX12">
        <v>3.6360693364120719E-2</v>
      </c>
      <c r="CY12">
        <v>2.4717117251817803E-2</v>
      </c>
      <c r="CZ12">
        <v>2.6976541665647152E-2</v>
      </c>
      <c r="DA12">
        <v>2.9781734446491116E-2</v>
      </c>
      <c r="DB12">
        <v>2.2569883311855121E-2</v>
      </c>
      <c r="DC12">
        <v>4.0196395486189494E-2</v>
      </c>
      <c r="DD12">
        <v>2.4357670754404304E-2</v>
      </c>
      <c r="DE12">
        <v>1.7707967546330562E-2</v>
      </c>
      <c r="DF12">
        <v>2.9926831809674943E-2</v>
      </c>
      <c r="DG12">
        <v>2.8915407522597778E-2</v>
      </c>
      <c r="DH12">
        <v>3.1431186311952151E-2</v>
      </c>
      <c r="DI12">
        <v>2.9789533694492703E-2</v>
      </c>
      <c r="DJ12">
        <v>2.0118233134424009E-2</v>
      </c>
      <c r="DK12">
        <v>2.0405656757871336E-2</v>
      </c>
      <c r="DL12">
        <v>3.2968556113324041E-2</v>
      </c>
      <c r="DM12">
        <v>3.4045442699532531E-2</v>
      </c>
      <c r="DN12">
        <v>3.986588650076265E-2</v>
      </c>
      <c r="DO12">
        <v>2.3351201121089824E-2</v>
      </c>
      <c r="DP12">
        <v>2.267634845123884E-2</v>
      </c>
      <c r="DQ12">
        <v>3.3719182169131792E-2</v>
      </c>
      <c r="DR12">
        <v>3.5871058674956276E-2</v>
      </c>
      <c r="DS12">
        <v>2.5996088981589543E-2</v>
      </c>
      <c r="DT12">
        <v>3.6844471144778762E-2</v>
      </c>
      <c r="DU12">
        <v>2.8200958532863342E-2</v>
      </c>
      <c r="DV12">
        <v>2.8658983925456225E-2</v>
      </c>
      <c r="DW12">
        <v>4.9857972322655951E-2</v>
      </c>
      <c r="DX12">
        <v>3.1652399298692416E-2</v>
      </c>
      <c r="DY12">
        <v>3.2975652891816483E-2</v>
      </c>
      <c r="DZ12">
        <v>2.5062331281397524E-2</v>
      </c>
      <c r="EA12">
        <v>3.9912106065944655E-2</v>
      </c>
      <c r="EB12">
        <v>3.5714228542616841E-2</v>
      </c>
      <c r="EC12">
        <v>2.4604207286609867E-2</v>
      </c>
      <c r="ED12">
        <v>2.8609812796095931E-2</v>
      </c>
      <c r="EE12">
        <v>3.9945360854200411E-2</v>
      </c>
      <c r="EF12">
        <v>2.8700345281870335E-2</v>
      </c>
      <c r="EG12">
        <v>3.4843629731773955E-2</v>
      </c>
      <c r="EH12">
        <v>1.8866489895649246E-2</v>
      </c>
      <c r="EI12">
        <v>2.8581894357815423E-2</v>
      </c>
      <c r="EJ12">
        <v>2.1432223933394726E-2</v>
      </c>
      <c r="EK12">
        <v>3.1340073061828282E-2</v>
      </c>
      <c r="EL12">
        <v>2.373254432838378E-2</v>
      </c>
      <c r="EM12">
        <v>3.8494552793512229E-2</v>
      </c>
      <c r="EN12">
        <v>2.9629183317434298E-2</v>
      </c>
      <c r="EO12">
        <v>2.8313839078501539E-2</v>
      </c>
      <c r="EP12">
        <v>3.1510796457084572E-2</v>
      </c>
      <c r="EQ12">
        <v>2.337344310128027E-2</v>
      </c>
      <c r="ER12">
        <v>3.6443653299030383E-2</v>
      </c>
      <c r="ES12">
        <v>2.8275035774796498E-2</v>
      </c>
      <c r="ET12">
        <v>2.9021507782233582E-2</v>
      </c>
      <c r="EU12">
        <v>2.8183979349050502E-2</v>
      </c>
      <c r="EV12">
        <v>2.2653113994726644E-2</v>
      </c>
      <c r="EW12">
        <v>3.2062411214879481E-2</v>
      </c>
      <c r="EX12">
        <v>3.3824453447279995E-2</v>
      </c>
      <c r="EY12">
        <v>2.2258136593074591E-2</v>
      </c>
      <c r="EZ12">
        <v>2.7842617701076666E-2</v>
      </c>
      <c r="FA12">
        <v>4.0351570670544658E-2</v>
      </c>
      <c r="FB12">
        <v>4.5461823858207288E-2</v>
      </c>
      <c r="FC12">
        <v>3.3567801344127395E-2</v>
      </c>
      <c r="FD12">
        <v>2.6214200707591503E-2</v>
      </c>
      <c r="FE12">
        <v>2.6361600636152609E-2</v>
      </c>
      <c r="FF12">
        <v>2.6324813424175725E-2</v>
      </c>
      <c r="FG12">
        <v>2.2577592244406249E-2</v>
      </c>
      <c r="FH12">
        <v>2.4787197369819113E-2</v>
      </c>
      <c r="FI12">
        <v>2.0065538370364993E-2</v>
      </c>
      <c r="FJ12">
        <v>1.2164100359159293E-2</v>
      </c>
      <c r="FK12">
        <v>4.0475704691879381E-2</v>
      </c>
      <c r="FL12">
        <v>2.4045121331128329E-2</v>
      </c>
      <c r="FM12">
        <v>3.6973032220369101E-2</v>
      </c>
      <c r="FN12">
        <v>3.0200587670665528E-2</v>
      </c>
      <c r="FO12">
        <v>3.1093978032035431E-2</v>
      </c>
      <c r="FP12">
        <v>2.7125972237299564E-2</v>
      </c>
      <c r="FQ12">
        <v>3.4130508118833149E-2</v>
      </c>
      <c r="FR12">
        <v>2.3375206240608466E-2</v>
      </c>
      <c r="FS12">
        <v>4.7714632630289605E-2</v>
      </c>
      <c r="FT12">
        <v>2.6338400443754219E-2</v>
      </c>
      <c r="FU12">
        <v>3.0725433905533301E-2</v>
      </c>
      <c r="FV12">
        <v>4.1539220103112118E-2</v>
      </c>
      <c r="FW12">
        <v>2.8692684917609488E-2</v>
      </c>
      <c r="FX12">
        <v>4.6740726096286933E-2</v>
      </c>
      <c r="FY12">
        <v>2.4851005226938457E-2</v>
      </c>
      <c r="FZ12">
        <v>2.5878996279396316E-2</v>
      </c>
      <c r="GA12">
        <v>2.4535517111230941E-2</v>
      </c>
      <c r="GB12">
        <v>2.7748893071422746E-2</v>
      </c>
      <c r="GC12">
        <v>3.0915947822865879E-2</v>
      </c>
      <c r="GD12">
        <v>1.7519934400002112E-2</v>
      </c>
      <c r="GE12">
        <v>2.4924837279016624E-2</v>
      </c>
      <c r="GF12">
        <v>4.287084633814997E-2</v>
      </c>
      <c r="GG12">
        <v>2.5929898918060506E-2</v>
      </c>
      <c r="GH12">
        <v>3.0036360832740264E-2</v>
      </c>
      <c r="GI12">
        <v>2.6973705124789523E-2</v>
      </c>
      <c r="GJ12">
        <v>3.6391181555729665E-2</v>
      </c>
      <c r="GK12">
        <v>2.4866315614870411E-2</v>
      </c>
      <c r="GL12">
        <v>2.3070728752659697E-2</v>
      </c>
      <c r="GM12">
        <v>2.3238841108019957E-2</v>
      </c>
      <c r="GN12">
        <v>2.3075534824888246E-2</v>
      </c>
      <c r="GO12">
        <v>3.8360414560965249E-2</v>
      </c>
      <c r="GP12">
        <v>2.9349965454480979E-2</v>
      </c>
      <c r="GQ12">
        <v>2.9392967337191992E-2</v>
      </c>
      <c r="GR12">
        <v>2.5888824211382104E-2</v>
      </c>
      <c r="GS12">
        <v>2.4227214609531408E-2</v>
      </c>
      <c r="GT12">
        <v>3.396010920397867E-2</v>
      </c>
      <c r="GU12">
        <v>2.5160375247182072E-2</v>
      </c>
      <c r="GV12">
        <v>1.768679404415259E-2</v>
      </c>
      <c r="GW12">
        <v>2.8826777732776646E-2</v>
      </c>
      <c r="GX12">
        <v>6.3033571904067678E-2</v>
      </c>
      <c r="GY12">
        <v>2.3024650250174812E-2</v>
      </c>
      <c r="GZ12">
        <v>3.2138926008171656E-2</v>
      </c>
      <c r="HA12">
        <v>4.2130013522236373E-2</v>
      </c>
      <c r="HB12">
        <v>2.6541369254982804E-2</v>
      </c>
      <c r="HC12">
        <v>2.1404256361488121E-2</v>
      </c>
      <c r="HD12">
        <v>3.5556890859940446E-2</v>
      </c>
      <c r="HE12">
        <v>3.1226654789237654E-2</v>
      </c>
      <c r="HF12">
        <v>2.598033123730354E-2</v>
      </c>
      <c r="HG12">
        <v>2.071456877658559E-2</v>
      </c>
      <c r="HH12">
        <v>3.8799106770889442E-2</v>
      </c>
      <c r="HI12">
        <v>2.3491614330084669E-2</v>
      </c>
      <c r="HJ12">
        <v>2.845884569857186E-2</v>
      </c>
      <c r="HK12">
        <v>3.6774088383503142E-2</v>
      </c>
      <c r="HL12">
        <v>3.4286704357719459E-2</v>
      </c>
      <c r="HM12">
        <v>2.787792538563778E-2</v>
      </c>
      <c r="HN12">
        <v>2.371397328202092E-2</v>
      </c>
      <c r="HO12">
        <v>1.9218131250481947E-2</v>
      </c>
      <c r="HP12">
        <v>2.1784844387049029E-2</v>
      </c>
      <c r="HQ12">
        <v>2.3507811048239548E-2</v>
      </c>
      <c r="HR12">
        <v>3.9694138499048806E-2</v>
      </c>
      <c r="HS12">
        <v>3.5016836835720627E-2</v>
      </c>
      <c r="HT12">
        <v>3.9160792491911088E-2</v>
      </c>
      <c r="HU12">
        <v>2.8013113520505277E-2</v>
      </c>
      <c r="HV12">
        <v>2.0395301966650681E-2</v>
      </c>
      <c r="HW12">
        <v>2.4696128647835127E-2</v>
      </c>
      <c r="HX12">
        <v>3.1861551904498707E-2</v>
      </c>
      <c r="HY12">
        <v>2.9323292321782001E-2</v>
      </c>
      <c r="HZ12">
        <v>2.9306975220176383E-2</v>
      </c>
      <c r="IA12">
        <v>2.7650516589608078E-2</v>
      </c>
      <c r="IB12">
        <v>2.9619664242096735E-2</v>
      </c>
      <c r="IC12">
        <v>2.3918496078321555E-2</v>
      </c>
      <c r="ID12">
        <v>3.767392878157548E-2</v>
      </c>
      <c r="IE12">
        <v>3.1893452418991289E-2</v>
      </c>
      <c r="IF12">
        <v>2.3475137028858568E-2</v>
      </c>
      <c r="IG12">
        <v>3.0994921707190738E-2</v>
      </c>
      <c r="IH12">
        <v>3.1078662634668529E-2</v>
      </c>
      <c r="II12">
        <v>2.593111991196561E-2</v>
      </c>
      <c r="IJ12">
        <v>2.9565332202365339E-2</v>
      </c>
      <c r="IK12">
        <v>3.3940911748860991E-2</v>
      </c>
      <c r="IL12">
        <v>4.6009417865668964E-2</v>
      </c>
      <c r="IM12">
        <v>3.8008968426234017E-2</v>
      </c>
      <c r="IN12">
        <v>1.9139791223711327E-2</v>
      </c>
      <c r="IO12">
        <v>2.5211797511407671E-2</v>
      </c>
    </row>
    <row r="13" spans="5:256" x14ac:dyDescent="0.15">
      <c r="E13">
        <v>2.9759888689684075E-2</v>
      </c>
      <c r="F13">
        <v>1.1269483839486107E-4</v>
      </c>
      <c r="J13" s="17">
        <v>3.5586173162848386E-2</v>
      </c>
      <c r="K13" s="17">
        <v>3.3267571183081171E-2</v>
      </c>
      <c r="L13" s="17">
        <v>2.1934298333334424E-2</v>
      </c>
      <c r="M13" s="17">
        <v>2.4986133911699002E-2</v>
      </c>
      <c r="N13" s="17">
        <v>2.7381330452864106E-2</v>
      </c>
      <c r="O13" s="17">
        <v>2.7057685687533941E-2</v>
      </c>
      <c r="P13" s="17">
        <v>1.4946574757493124E-2</v>
      </c>
      <c r="Q13" s="17">
        <v>6.1637924609584602E-2</v>
      </c>
      <c r="R13" s="17">
        <v>2.2121883185115168E-2</v>
      </c>
      <c r="S13" s="17">
        <v>3.2118523812511603E-2</v>
      </c>
      <c r="T13">
        <v>2.9081219658947534E-2</v>
      </c>
      <c r="U13">
        <v>2.0240683015354834E-2</v>
      </c>
      <c r="V13">
        <v>3.7262107535934189E-2</v>
      </c>
      <c r="W13">
        <v>2.1696798912234534E-2</v>
      </c>
      <c r="X13">
        <v>4.3037280290934947E-2</v>
      </c>
      <c r="Y13">
        <v>3.9372614469522484E-2</v>
      </c>
      <c r="Z13">
        <v>2.4445379298219112E-2</v>
      </c>
      <c r="AA13">
        <v>1.8301067094455812E-2</v>
      </c>
      <c r="AB13">
        <v>3.1993318340250522E-2</v>
      </c>
      <c r="AC13">
        <v>2.0345441428578814E-2</v>
      </c>
      <c r="AD13">
        <v>3.7840718508103506E-2</v>
      </c>
      <c r="AE13">
        <v>4.9959889163130211E-2</v>
      </c>
      <c r="AF13">
        <v>2.9702058606965447E-2</v>
      </c>
      <c r="AG13">
        <v>2.8554239851380371E-2</v>
      </c>
      <c r="AH13">
        <v>2.5389542746872582E-2</v>
      </c>
      <c r="AI13">
        <v>4.5752409650642804E-2</v>
      </c>
      <c r="AJ13">
        <v>4.3336216438689873E-2</v>
      </c>
      <c r="AK13">
        <v>3.8886072723197905E-2</v>
      </c>
      <c r="AL13">
        <v>2.0977969319627074E-2</v>
      </c>
      <c r="AM13">
        <v>2.3608840904671576E-2</v>
      </c>
      <c r="AN13">
        <v>4.1678750446485301E-2</v>
      </c>
      <c r="AO13">
        <v>4.4515917984734796E-2</v>
      </c>
      <c r="AP13">
        <v>3.0696327223992209E-2</v>
      </c>
      <c r="AQ13">
        <v>3.6523719449996023E-2</v>
      </c>
      <c r="AR13">
        <v>2.6127232970141495E-2</v>
      </c>
      <c r="AS13">
        <v>3.083946179896806E-2</v>
      </c>
      <c r="AT13">
        <v>1.4135409203406566E-2</v>
      </c>
      <c r="AU13">
        <v>3.3011993984669551E-2</v>
      </c>
      <c r="AV13">
        <v>2.0129722589123749E-2</v>
      </c>
      <c r="AW13">
        <v>3.4274619011345056E-2</v>
      </c>
      <c r="AX13">
        <v>2.6802987156487539E-2</v>
      </c>
      <c r="AY13">
        <v>2.1362360727568721E-2</v>
      </c>
      <c r="AZ13">
        <v>2.6685943859496474E-2</v>
      </c>
      <c r="BA13">
        <v>2.1268958615732445E-2</v>
      </c>
      <c r="BB13">
        <v>3.7925140272619458E-2</v>
      </c>
      <c r="BC13">
        <v>1.9471010326732742E-2</v>
      </c>
      <c r="BD13">
        <v>1.5933440957095625E-2</v>
      </c>
      <c r="BE13">
        <v>4.590799928815948E-2</v>
      </c>
      <c r="BF13">
        <v>2.5751451836565228E-2</v>
      </c>
      <c r="BG13">
        <v>3.4843299529520255E-2</v>
      </c>
      <c r="BH13">
        <v>1.9899099103132936E-2</v>
      </c>
      <c r="BI13">
        <v>3.8891599953500847E-2</v>
      </c>
      <c r="BJ13">
        <v>3.314127604876279E-2</v>
      </c>
      <c r="BK13">
        <v>1.5613613693524873E-2</v>
      </c>
      <c r="BL13">
        <v>3.0128597552234862E-2</v>
      </c>
      <c r="BM13">
        <v>1.9960507135377628E-2</v>
      </c>
      <c r="BN13">
        <v>4.4852083693583698E-2</v>
      </c>
      <c r="BO13">
        <v>3.2386764327835653E-2</v>
      </c>
      <c r="BP13">
        <v>3.5178929385092692E-2</v>
      </c>
      <c r="BQ13">
        <v>2.968537614819064E-2</v>
      </c>
      <c r="BR13">
        <v>3.2062145734086521E-2</v>
      </c>
      <c r="BS13">
        <v>2.6009051195659404E-2</v>
      </c>
      <c r="BT13">
        <v>3.0481380837354119E-2</v>
      </c>
      <c r="BU13">
        <v>2.3846832716406589E-2</v>
      </c>
      <c r="BV13">
        <v>3.3307095596756243E-2</v>
      </c>
      <c r="BW13">
        <v>1.5168651905659459E-2</v>
      </c>
      <c r="BX13">
        <v>2.5679477952658878E-2</v>
      </c>
      <c r="BY13">
        <v>3.6822895882346406E-2</v>
      </c>
      <c r="BZ13">
        <v>5.061040163115197E-2</v>
      </c>
      <c r="CA13">
        <v>3.3775879566125822E-2</v>
      </c>
      <c r="CB13">
        <v>2.0189187238599672E-2</v>
      </c>
      <c r="CC13">
        <v>2.9061135676640884E-2</v>
      </c>
      <c r="CD13">
        <v>2.2267997760149462E-2</v>
      </c>
      <c r="CE13">
        <v>2.6210690167990814E-2</v>
      </c>
      <c r="CF13">
        <v>2.186709912588199E-2</v>
      </c>
      <c r="CG13">
        <v>3.5156346729777702E-2</v>
      </c>
      <c r="CH13">
        <v>3.1603913276496372E-2</v>
      </c>
      <c r="CI13">
        <v>4.8501102207812459E-2</v>
      </c>
      <c r="CJ13">
        <v>2.4093387024068363E-2</v>
      </c>
      <c r="CK13">
        <v>1.4257950249670363E-2</v>
      </c>
      <c r="CL13">
        <v>6.2793668276718367E-2</v>
      </c>
      <c r="CM13">
        <v>3.1797263488639725E-2</v>
      </c>
      <c r="CN13">
        <v>3.2173809589921658E-2</v>
      </c>
      <c r="CO13">
        <v>2.9440359865888863E-2</v>
      </c>
      <c r="CP13">
        <v>2.7867311822475975E-2</v>
      </c>
      <c r="CQ13">
        <v>5.7256425423192189E-2</v>
      </c>
      <c r="CR13">
        <v>3.6192636514895925E-2</v>
      </c>
      <c r="CS13">
        <v>2.0445426750419767E-2</v>
      </c>
      <c r="CT13">
        <v>2.5803762719650229E-2</v>
      </c>
      <c r="CU13">
        <v>5.0299854690008132E-2</v>
      </c>
      <c r="CV13">
        <v>2.9825693521107123E-2</v>
      </c>
      <c r="CW13">
        <v>1.4738566572525992E-2</v>
      </c>
      <c r="CX13">
        <v>3.3947529571190779E-2</v>
      </c>
      <c r="CY13">
        <v>2.1201918435542436E-2</v>
      </c>
      <c r="CZ13">
        <v>3.1398144056234215E-2</v>
      </c>
      <c r="DA13">
        <v>1.9220430930730011E-2</v>
      </c>
      <c r="DB13">
        <v>1.5734583753755166E-2</v>
      </c>
      <c r="DC13">
        <v>4.8114721988874808E-2</v>
      </c>
      <c r="DD13">
        <v>1.8611034551828068E-2</v>
      </c>
      <c r="DE13">
        <v>1.8494258651142098E-2</v>
      </c>
      <c r="DF13">
        <v>2.1065551302252721E-2</v>
      </c>
      <c r="DG13">
        <v>2.8794400459614782E-2</v>
      </c>
      <c r="DH13">
        <v>3.3803587275186037E-2</v>
      </c>
      <c r="DI13">
        <v>3.3310184818377636E-2</v>
      </c>
      <c r="DJ13">
        <v>2.1505842566136475E-2</v>
      </c>
      <c r="DK13">
        <v>2.2776525460776475E-2</v>
      </c>
      <c r="DL13">
        <v>3.8511615401911573E-2</v>
      </c>
      <c r="DM13">
        <v>3.8546796273562042E-2</v>
      </c>
      <c r="DN13">
        <v>3.6009636840776196E-2</v>
      </c>
      <c r="DO13">
        <v>2.5851229285347811E-2</v>
      </c>
      <c r="DP13">
        <v>1.8477599357041973E-2</v>
      </c>
      <c r="DQ13">
        <v>4.6739567456132926E-2</v>
      </c>
      <c r="DR13">
        <v>4.0165864594462898E-2</v>
      </c>
      <c r="DS13">
        <v>4.1256015731806858E-2</v>
      </c>
      <c r="DT13">
        <v>5.1725994772101033E-2</v>
      </c>
      <c r="DU13">
        <v>2.5705469256134976E-2</v>
      </c>
      <c r="DV13">
        <v>3.0270692731880818E-2</v>
      </c>
      <c r="DW13">
        <v>5.4630111793104591E-2</v>
      </c>
      <c r="DX13">
        <v>2.3997736120550166E-2</v>
      </c>
      <c r="DY13">
        <v>2.9817615898739165E-2</v>
      </c>
      <c r="DZ13">
        <v>1.3675510695545829E-2</v>
      </c>
      <c r="EA13">
        <v>3.9122588458512721E-2</v>
      </c>
      <c r="EB13">
        <v>2.981514762520238E-2</v>
      </c>
      <c r="EC13">
        <v>2.9586670708496299E-2</v>
      </c>
      <c r="ED13">
        <v>2.4326190179967795E-2</v>
      </c>
      <c r="EE13">
        <v>2.5102870220265108E-2</v>
      </c>
      <c r="EF13">
        <v>3.9391939315859006E-2</v>
      </c>
      <c r="EG13">
        <v>3.6106981523953197E-2</v>
      </c>
      <c r="EH13">
        <v>2.1686006806032262E-2</v>
      </c>
      <c r="EI13">
        <v>2.0152112899919083E-2</v>
      </c>
      <c r="EJ13">
        <v>1.7872007611416555E-2</v>
      </c>
      <c r="EK13">
        <v>2.3055483981336607E-2</v>
      </c>
      <c r="EL13">
        <v>2.4347756694344688E-2</v>
      </c>
      <c r="EM13">
        <v>2.6101876015125355E-2</v>
      </c>
      <c r="EN13">
        <v>3.4814503027468996E-2</v>
      </c>
      <c r="EO13">
        <v>2.5874418954973877E-2</v>
      </c>
      <c r="EP13">
        <v>3.2064208715220442E-2</v>
      </c>
      <c r="EQ13">
        <v>1.7556237629779429E-2</v>
      </c>
      <c r="ER13">
        <v>5.4161469388167092E-2</v>
      </c>
      <c r="ES13">
        <v>2.6780452648471762E-2</v>
      </c>
      <c r="ET13">
        <v>2.8264871379104051E-2</v>
      </c>
      <c r="EU13">
        <v>3.1944185800458873E-2</v>
      </c>
      <c r="EV13">
        <v>2.1624357605114317E-2</v>
      </c>
      <c r="EW13">
        <v>2.4743608806172063E-2</v>
      </c>
      <c r="EX13">
        <v>2.0430100298931757E-2</v>
      </c>
      <c r="EY13">
        <v>3.21478162760028E-2</v>
      </c>
      <c r="EZ13">
        <v>2.245120786616368E-2</v>
      </c>
      <c r="FA13">
        <v>2.2760081792985123E-2</v>
      </c>
      <c r="FB13">
        <v>4.9084869651392284E-2</v>
      </c>
      <c r="FC13">
        <v>3.5692230493731408E-2</v>
      </c>
      <c r="FD13">
        <v>1.3898047776022954E-2</v>
      </c>
      <c r="FE13">
        <v>2.4108006360221299E-2</v>
      </c>
      <c r="FF13">
        <v>2.6472192730259497E-2</v>
      </c>
      <c r="FG13">
        <v>2.7140392456978545E-2</v>
      </c>
      <c r="FH13">
        <v>1.8798272680722608E-2</v>
      </c>
      <c r="FI13">
        <v>1.8558285459341958E-2</v>
      </c>
      <c r="FJ13">
        <v>1.3731366494577743E-2</v>
      </c>
      <c r="FK13">
        <v>3.751978508937074E-2</v>
      </c>
      <c r="FL13">
        <v>2.2983767054687188E-2</v>
      </c>
      <c r="FM13">
        <v>4.8963421287370912E-2</v>
      </c>
      <c r="FN13">
        <v>2.4827002572894902E-2</v>
      </c>
      <c r="FO13">
        <v>2.7866488676800416E-2</v>
      </c>
      <c r="FP13">
        <v>2.1025377186853482E-2</v>
      </c>
      <c r="FQ13">
        <v>2.4284868977689427E-2</v>
      </c>
      <c r="FR13">
        <v>2.7548130418636109E-2</v>
      </c>
      <c r="FS13">
        <v>4.8894663430431834E-2</v>
      </c>
      <c r="FT13">
        <v>3.2024551493088992E-2</v>
      </c>
      <c r="FU13">
        <v>3.6727291289729902E-2</v>
      </c>
      <c r="FV13">
        <v>3.0483277102947928E-2</v>
      </c>
      <c r="FW13">
        <v>2.7675664931682793E-2</v>
      </c>
      <c r="FX13">
        <v>4.4327098814539168E-2</v>
      </c>
      <c r="FY13">
        <v>1.7810427100491938E-2</v>
      </c>
      <c r="FZ13">
        <v>2.2038864477698004E-2</v>
      </c>
      <c r="GA13">
        <v>2.8436087335558063E-2</v>
      </c>
      <c r="GB13">
        <v>2.9616385775867123E-2</v>
      </c>
      <c r="GC13">
        <v>2.5539058726732785E-2</v>
      </c>
      <c r="GD13">
        <v>1.6318369301256765E-2</v>
      </c>
      <c r="GE13">
        <v>2.9955472403693787E-2</v>
      </c>
      <c r="GF13">
        <v>3.0694629497878167E-2</v>
      </c>
      <c r="GG13">
        <v>2.5898564374141796E-2</v>
      </c>
      <c r="GH13">
        <v>3.1916875724412784E-2</v>
      </c>
      <c r="GI13">
        <v>2.9428604753429555E-2</v>
      </c>
      <c r="GJ13">
        <v>4.0099992019052629E-2</v>
      </c>
      <c r="GK13">
        <v>2.9603991187620596E-2</v>
      </c>
      <c r="GL13">
        <v>1.7821613965441963E-2</v>
      </c>
      <c r="GM13">
        <v>2.4250910208295035E-2</v>
      </c>
      <c r="GN13">
        <v>2.0428213202306447E-2</v>
      </c>
      <c r="GO13">
        <v>3.7642642899467421E-2</v>
      </c>
      <c r="GP13">
        <v>2.4060013168413205E-2</v>
      </c>
      <c r="GQ13">
        <v>2.5669271125740717E-2</v>
      </c>
      <c r="GR13">
        <v>2.6404964628394652E-2</v>
      </c>
      <c r="GS13">
        <v>1.4554691950346935E-2</v>
      </c>
      <c r="GT13">
        <v>2.3879276639549574E-2</v>
      </c>
      <c r="GU13">
        <v>2.1186051696106191E-2</v>
      </c>
      <c r="GV13">
        <v>1.1304588863796233E-2</v>
      </c>
      <c r="GW13">
        <v>2.3188095879538587E-2</v>
      </c>
      <c r="GX13">
        <v>6.4450074582507275E-2</v>
      </c>
      <c r="GY13">
        <v>2.5468788580483764E-2</v>
      </c>
      <c r="GZ13">
        <v>2.7310993023521041E-2</v>
      </c>
      <c r="HA13">
        <v>6.8086365056560197E-2</v>
      </c>
      <c r="HB13">
        <v>2.8745205089616938E-2</v>
      </c>
      <c r="HC13">
        <v>2.3546522451661334E-2</v>
      </c>
      <c r="HD13">
        <v>4.4989751654896784E-2</v>
      </c>
      <c r="HE13">
        <v>3.0208246792424502E-2</v>
      </c>
      <c r="HF13">
        <v>3.2864671257388532E-2</v>
      </c>
      <c r="HG13">
        <v>1.2053060937164992E-2</v>
      </c>
      <c r="HH13">
        <v>6.5041633320962147E-2</v>
      </c>
      <c r="HI13">
        <v>1.5734535433661451E-2</v>
      </c>
      <c r="HJ13">
        <v>3.7047515064270072E-2</v>
      </c>
      <c r="HK13">
        <v>3.6322335548601085E-2</v>
      </c>
      <c r="HL13">
        <v>2.2160658414537147E-2</v>
      </c>
      <c r="HM13">
        <v>3.8041219016896478E-2</v>
      </c>
      <c r="HN13">
        <v>1.611311310953881E-2</v>
      </c>
      <c r="HO13">
        <v>2.1741565623074936E-2</v>
      </c>
      <c r="HP13">
        <v>1.9063935021434882E-2</v>
      </c>
      <c r="HQ13">
        <v>1.9267326071871711E-2</v>
      </c>
      <c r="HR13">
        <v>3.2058658293587589E-2</v>
      </c>
      <c r="HS13">
        <v>4.448167532641855E-2</v>
      </c>
      <c r="HT13">
        <v>3.8238338107172198E-2</v>
      </c>
      <c r="HU13">
        <v>1.7400515734444948E-2</v>
      </c>
      <c r="HV13">
        <v>2.4413170769678041E-2</v>
      </c>
      <c r="HW13">
        <v>2.5841181370912431E-2</v>
      </c>
      <c r="HX13">
        <v>3.8870816554377782E-2</v>
      </c>
      <c r="HY13">
        <v>2.730453833998206E-2</v>
      </c>
      <c r="HZ13">
        <v>2.5677064628406004E-2</v>
      </c>
      <c r="IA13">
        <v>2.9639485368886276E-2</v>
      </c>
      <c r="IB13">
        <v>2.3931340596744548E-2</v>
      </c>
      <c r="IC13">
        <v>1.8961297467269531E-2</v>
      </c>
      <c r="ID13">
        <v>3.8098279913456358E-2</v>
      </c>
      <c r="IE13">
        <v>3.5779558646283238E-2</v>
      </c>
      <c r="IF13">
        <v>2.7473618253174785E-2</v>
      </c>
      <c r="IG13">
        <v>3.2766504930543588E-2</v>
      </c>
      <c r="IH13">
        <v>2.945283921853728E-2</v>
      </c>
      <c r="II13">
        <v>2.2281091374349499E-2</v>
      </c>
      <c r="IJ13">
        <v>3.4408212717730653E-2</v>
      </c>
      <c r="IK13">
        <v>2.5742209761252792E-2</v>
      </c>
      <c r="IL13">
        <v>6.3815809461490722E-2</v>
      </c>
      <c r="IM13">
        <v>2.9637515730109427E-2</v>
      </c>
      <c r="IN13">
        <v>1.8085771616368693E-2</v>
      </c>
      <c r="IO13">
        <v>2.5675280657942945E-2</v>
      </c>
    </row>
    <row r="14" spans="5:256" x14ac:dyDescent="0.15">
      <c r="E14">
        <v>3.0812246804702147E-2</v>
      </c>
      <c r="F14">
        <v>1.8354718853707692E-4</v>
      </c>
      <c r="J14" s="17">
        <v>5.370851717091759E-2</v>
      </c>
      <c r="K14" s="17">
        <v>3.4124215418958541E-2</v>
      </c>
      <c r="L14" s="17">
        <v>2.7341892449154571E-2</v>
      </c>
      <c r="M14" s="17">
        <v>3.5116381818800176E-2</v>
      </c>
      <c r="N14" s="17">
        <v>3.3081898270647628E-2</v>
      </c>
      <c r="O14" s="17">
        <v>2.684269444402047E-2</v>
      </c>
      <c r="P14" s="17">
        <v>1.8281129237866508E-2</v>
      </c>
      <c r="Q14" s="17">
        <v>4.7168648208470935E-2</v>
      </c>
      <c r="R14" s="17">
        <v>2.5316287301146059E-2</v>
      </c>
      <c r="S14" s="17">
        <v>3.4723490094535889E-2</v>
      </c>
      <c r="T14">
        <v>3.1470746388270146E-2</v>
      </c>
      <c r="U14">
        <v>2.4336447247998459E-2</v>
      </c>
      <c r="V14">
        <v>5.381651742438865E-2</v>
      </c>
      <c r="W14">
        <v>2.7931358882005441E-2</v>
      </c>
      <c r="X14">
        <v>3.5963052165969407E-2</v>
      </c>
      <c r="Y14">
        <v>3.5276075168455406E-2</v>
      </c>
      <c r="Z14">
        <v>2.3062074675425193E-2</v>
      </c>
      <c r="AA14">
        <v>1.6782101204902061E-2</v>
      </c>
      <c r="AB14">
        <v>4.2547613217995502E-2</v>
      </c>
      <c r="AC14">
        <v>1.8262708123436014E-2</v>
      </c>
      <c r="AD14">
        <v>3.9371171474712349E-2</v>
      </c>
      <c r="AE14">
        <v>6.2496663404220505E-2</v>
      </c>
      <c r="AF14">
        <v>2.5510092454844285E-2</v>
      </c>
      <c r="AG14">
        <v>2.89701908814026E-2</v>
      </c>
      <c r="AH14">
        <v>3.4095767780152983E-2</v>
      </c>
      <c r="AI14">
        <v>5.9165633102237193E-2</v>
      </c>
      <c r="AJ14">
        <v>6.2576842123835408E-2</v>
      </c>
      <c r="AK14">
        <v>4.1898244181355931E-2</v>
      </c>
      <c r="AL14">
        <v>2.6405575933290855E-2</v>
      </c>
      <c r="AM14">
        <v>2.2445264321625451E-2</v>
      </c>
      <c r="AN14">
        <v>4.2724680041459996E-2</v>
      </c>
      <c r="AO14">
        <v>3.7228052150414762E-2</v>
      </c>
      <c r="AP14">
        <v>2.6546206214779142E-2</v>
      </c>
      <c r="AQ14">
        <v>2.4648648729066081E-2</v>
      </c>
      <c r="AR14">
        <v>2.6734386197857458E-2</v>
      </c>
      <c r="AS14">
        <v>3.2121987226324498E-2</v>
      </c>
      <c r="AT14">
        <v>1.0359408116783882E-2</v>
      </c>
      <c r="AU14">
        <v>2.1068869681079988E-2</v>
      </c>
      <c r="AV14">
        <v>2.1992196506465118E-2</v>
      </c>
      <c r="AW14">
        <v>4.7731283703134564E-2</v>
      </c>
      <c r="AX14">
        <v>3.1500176122786216E-2</v>
      </c>
      <c r="AY14">
        <v>2.1570442426960077E-2</v>
      </c>
      <c r="AZ14">
        <v>3.0720246834123808E-2</v>
      </c>
      <c r="BA14">
        <v>1.4736895230489856E-2</v>
      </c>
      <c r="BB14">
        <v>3.1746790611064314E-2</v>
      </c>
      <c r="BC14">
        <v>1.5853698445166917E-2</v>
      </c>
      <c r="BD14">
        <v>1.4320663782669048E-2</v>
      </c>
      <c r="BE14">
        <v>4.6583309668220288E-2</v>
      </c>
      <c r="BF14">
        <v>2.5187955580106364E-2</v>
      </c>
      <c r="BG14">
        <v>3.6916737483562855E-2</v>
      </c>
      <c r="BH14">
        <v>2.0908412920105767E-2</v>
      </c>
      <c r="BI14">
        <v>4.9097697305222301E-2</v>
      </c>
      <c r="BJ14">
        <v>4.0383506310962061E-2</v>
      </c>
      <c r="BK14">
        <v>1.4662016858862266E-2</v>
      </c>
      <c r="BL14">
        <v>3.1989584363235776E-2</v>
      </c>
      <c r="BM14">
        <v>2.3677082170015167E-2</v>
      </c>
      <c r="BN14">
        <v>5.5869821838108277E-2</v>
      </c>
      <c r="BO14">
        <v>3.4982242688121529E-2</v>
      </c>
      <c r="BP14">
        <v>2.6435421182635116E-2</v>
      </c>
      <c r="BQ14">
        <v>3.3287373120509327E-2</v>
      </c>
      <c r="BR14">
        <v>3.6024060145394714E-2</v>
      </c>
      <c r="BS14">
        <v>2.0365364717317376E-2</v>
      </c>
      <c r="BT14">
        <v>2.7973808569657848E-2</v>
      </c>
      <c r="BU14">
        <v>1.7543383619450043E-2</v>
      </c>
      <c r="BV14">
        <v>3.6000096728946517E-2</v>
      </c>
      <c r="BW14">
        <v>1.831962256974827E-2</v>
      </c>
      <c r="BX14">
        <v>2.5449706123207985E-2</v>
      </c>
      <c r="BY14">
        <v>4.1181486291817893E-2</v>
      </c>
      <c r="BZ14">
        <v>5.094103493050562E-2</v>
      </c>
      <c r="CA14">
        <v>5.1062198428851416E-2</v>
      </c>
      <c r="CB14">
        <v>3.0338805568999788E-2</v>
      </c>
      <c r="CC14">
        <v>3.1447319021085704E-2</v>
      </c>
      <c r="CD14">
        <v>2.0021036737750294E-2</v>
      </c>
      <c r="CE14">
        <v>2.2705176016475922E-2</v>
      </c>
      <c r="CF14">
        <v>2.3825860376796376E-2</v>
      </c>
      <c r="CG14">
        <v>3.6732340531727026E-2</v>
      </c>
      <c r="CH14">
        <v>3.2038968870457013E-2</v>
      </c>
      <c r="CI14">
        <v>7.8072118457947121E-2</v>
      </c>
      <c r="CJ14">
        <v>2.9169799100271343E-2</v>
      </c>
      <c r="CK14">
        <v>1.6861172277015661E-2</v>
      </c>
      <c r="CL14">
        <v>7.4519172507496539E-2</v>
      </c>
      <c r="CM14">
        <v>2.8559813217871488E-2</v>
      </c>
      <c r="CN14">
        <v>2.3946660880944968E-2</v>
      </c>
      <c r="CO14">
        <v>2.806490233876555E-2</v>
      </c>
      <c r="CP14">
        <v>2.8425742898058666E-2</v>
      </c>
      <c r="CQ14">
        <v>5.3548471555424144E-2</v>
      </c>
      <c r="CR14">
        <v>2.8574890515836872E-2</v>
      </c>
      <c r="CS14">
        <v>2.0944904957612514E-2</v>
      </c>
      <c r="CT14">
        <v>2.0194748889010052E-2</v>
      </c>
      <c r="CU14">
        <v>8.2118659291533461E-2</v>
      </c>
      <c r="CV14">
        <v>2.9425860754010959E-2</v>
      </c>
      <c r="CW14">
        <v>1.4155493681056569E-2</v>
      </c>
      <c r="CX14">
        <v>4.1969912470178956E-2</v>
      </c>
      <c r="CY14">
        <v>2.9016314947165091E-2</v>
      </c>
      <c r="CZ14">
        <v>4.4433165970649578E-2</v>
      </c>
      <c r="DA14">
        <v>2.7392509579503278E-2</v>
      </c>
      <c r="DB14">
        <v>1.849229668763688E-2</v>
      </c>
      <c r="DC14">
        <v>3.5818854378437709E-2</v>
      </c>
      <c r="DD14">
        <v>1.8101931683214917E-2</v>
      </c>
      <c r="DE14">
        <v>2.1898885212165549E-2</v>
      </c>
      <c r="DF14">
        <v>2.8498717459484697E-2</v>
      </c>
      <c r="DG14">
        <v>2.8305914146638633E-2</v>
      </c>
      <c r="DH14">
        <v>4.7277130396874381E-2</v>
      </c>
      <c r="DI14">
        <v>3.5180085995121367E-2</v>
      </c>
      <c r="DJ14">
        <v>2.0291038390512911E-2</v>
      </c>
      <c r="DK14">
        <v>2.143124807123023E-2</v>
      </c>
      <c r="DL14">
        <v>4.1196965344489044E-2</v>
      </c>
      <c r="DM14">
        <v>3.9370786510959536E-2</v>
      </c>
      <c r="DN14">
        <v>4.341131348834007E-2</v>
      </c>
      <c r="DO14">
        <v>3.4212652435481009E-2</v>
      </c>
      <c r="DP14">
        <v>1.8199425826440824E-2</v>
      </c>
      <c r="DQ14">
        <v>4.5995541698783657E-2</v>
      </c>
      <c r="DR14">
        <v>3.7733791405230484E-2</v>
      </c>
      <c r="DS14">
        <v>4.8002489662106268E-2</v>
      </c>
      <c r="DT14">
        <v>6.4862095590348931E-2</v>
      </c>
      <c r="DU14">
        <v>2.8064920085626683E-2</v>
      </c>
      <c r="DV14">
        <v>2.820194971686385E-2</v>
      </c>
      <c r="DW14">
        <v>3.8313221877844673E-2</v>
      </c>
      <c r="DX14">
        <v>1.8728856939815443E-2</v>
      </c>
      <c r="DY14">
        <v>4.0897112338470924E-2</v>
      </c>
      <c r="DZ14">
        <v>8.9777899700228866E-3</v>
      </c>
      <c r="EA14">
        <v>3.0330010921000322E-2</v>
      </c>
      <c r="EB14">
        <v>3.4151217407874621E-2</v>
      </c>
      <c r="EC14">
        <v>2.0661168581126453E-2</v>
      </c>
      <c r="ED14">
        <v>2.8840311020833318E-2</v>
      </c>
      <c r="EE14">
        <v>2.7503074146206053E-2</v>
      </c>
      <c r="EF14">
        <v>2.5026012896045571E-2</v>
      </c>
      <c r="EG14">
        <v>3.3393224699312996E-2</v>
      </c>
      <c r="EH14">
        <v>2.4241235123000606E-2</v>
      </c>
      <c r="EI14">
        <v>1.6196685706959837E-2</v>
      </c>
      <c r="EJ14">
        <v>1.8617147625663744E-2</v>
      </c>
      <c r="EK14">
        <v>2.6671173387523568E-2</v>
      </c>
      <c r="EL14">
        <v>2.1180027546706861E-2</v>
      </c>
      <c r="EM14">
        <v>2.3279241793438408E-2</v>
      </c>
      <c r="EN14">
        <v>4.1049756352549781E-2</v>
      </c>
      <c r="EO14">
        <v>3.0223027997160035E-2</v>
      </c>
      <c r="EP14">
        <v>3.4979460215997453E-2</v>
      </c>
      <c r="EQ14">
        <v>1.7105403410038671E-2</v>
      </c>
      <c r="ER14">
        <v>5.8334335201789267E-2</v>
      </c>
      <c r="ES14">
        <v>2.9917227104327961E-2</v>
      </c>
      <c r="ET14">
        <v>3.5223507775662743E-2</v>
      </c>
      <c r="EU14">
        <v>2.1743885737238539E-2</v>
      </c>
      <c r="EV14">
        <v>2.2337181332581158E-2</v>
      </c>
      <c r="EW14">
        <v>2.8260001821458065E-2</v>
      </c>
      <c r="EX14">
        <v>1.2895004463808221E-2</v>
      </c>
      <c r="EY14">
        <v>4.1427781988079976E-2</v>
      </c>
      <c r="EZ14">
        <v>2.9476078374528984E-2</v>
      </c>
      <c r="FA14">
        <v>2.3314434070503612E-2</v>
      </c>
      <c r="FB14">
        <v>3.1584424446335316E-2</v>
      </c>
      <c r="FC14">
        <v>4.1134467576868262E-2</v>
      </c>
      <c r="FD14">
        <v>1.5001748936806105E-2</v>
      </c>
      <c r="FE14">
        <v>2.3644040155931627E-2</v>
      </c>
      <c r="FF14">
        <v>2.4413302254868742E-2</v>
      </c>
      <c r="FG14">
        <v>2.6250180263093972E-2</v>
      </c>
      <c r="FH14">
        <v>2.1999685538166398E-2</v>
      </c>
      <c r="FI14">
        <v>2.5435672918356578E-2</v>
      </c>
      <c r="FJ14">
        <v>6.0467935721056562E-3</v>
      </c>
      <c r="FK14">
        <v>1.9360490301986607E-2</v>
      </c>
      <c r="FL14">
        <v>3.1301735189805079E-2</v>
      </c>
      <c r="FM14">
        <v>6.1609258241835996E-2</v>
      </c>
      <c r="FN14">
        <v>3.0515711621725675E-2</v>
      </c>
      <c r="FO14">
        <v>2.1699284014450201E-2</v>
      </c>
      <c r="FP14">
        <v>2.747059351871578E-2</v>
      </c>
      <c r="FQ14">
        <v>2.2058261718393545E-2</v>
      </c>
      <c r="FR14">
        <v>2.1843445059464957E-2</v>
      </c>
      <c r="FS14">
        <v>5.0713671372221734E-2</v>
      </c>
      <c r="FT14">
        <v>2.8588165494667219E-2</v>
      </c>
      <c r="FU14">
        <v>4.794151016870711E-2</v>
      </c>
      <c r="FV14">
        <v>3.4506302649242218E-2</v>
      </c>
      <c r="FW14">
        <v>2.4985918960879878E-2</v>
      </c>
      <c r="FX14">
        <v>3.0955679104313124E-2</v>
      </c>
      <c r="FY14">
        <v>1.6903694577627471E-2</v>
      </c>
      <c r="FZ14">
        <v>3.2362357745888963E-2</v>
      </c>
      <c r="GA14">
        <v>3.8638737136045986E-2</v>
      </c>
      <c r="GB14">
        <v>2.3391834517721977E-2</v>
      </c>
      <c r="GC14">
        <v>2.9018824362788624E-2</v>
      </c>
      <c r="GD14">
        <v>1.7647125720298262E-2</v>
      </c>
      <c r="GE14">
        <v>3.735785460387115E-2</v>
      </c>
      <c r="GF14">
        <v>3.3495669779249074E-2</v>
      </c>
      <c r="GG14">
        <v>2.3336979606485519E-2</v>
      </c>
      <c r="GH14">
        <v>2.4528368947281349E-2</v>
      </c>
      <c r="GI14">
        <v>2.5793128347489206E-2</v>
      </c>
      <c r="GJ14">
        <v>3.2162368854481108E-2</v>
      </c>
      <c r="GK14">
        <v>2.2663837026265485E-2</v>
      </c>
      <c r="GL14">
        <v>2.3437171176597299E-2</v>
      </c>
      <c r="GM14">
        <v>2.294387918307296E-2</v>
      </c>
      <c r="GN14">
        <v>2.0811245793058521E-2</v>
      </c>
      <c r="GO14">
        <v>3.3893222857386239E-2</v>
      </c>
      <c r="GP14">
        <v>2.4266580142174254E-2</v>
      </c>
      <c r="GQ14">
        <v>2.6767301487865023E-2</v>
      </c>
      <c r="GR14">
        <v>1.6099801898175402E-2</v>
      </c>
      <c r="GS14">
        <v>1.3437353282583249E-2</v>
      </c>
      <c r="GT14">
        <v>1.9249270313112715E-2</v>
      </c>
      <c r="GU14">
        <v>1.9776047353664328E-2</v>
      </c>
      <c r="GV14">
        <v>1.3098385712636967E-2</v>
      </c>
      <c r="GW14">
        <v>2.5523286370834133E-2</v>
      </c>
      <c r="GX14">
        <v>0.10381231464223035</v>
      </c>
      <c r="GY14">
        <v>1.8746935047568802E-2</v>
      </c>
      <c r="GZ14">
        <v>1.8951583413385001E-2</v>
      </c>
      <c r="HA14">
        <v>5.5709324223105747E-2</v>
      </c>
      <c r="HB14">
        <v>2.5975341337673367E-2</v>
      </c>
      <c r="HC14">
        <v>2.0415553312707842E-2</v>
      </c>
      <c r="HD14">
        <v>4.7632672861464324E-2</v>
      </c>
      <c r="HE14">
        <v>2.7386135790824193E-2</v>
      </c>
      <c r="HF14">
        <v>3.5562648869346881E-2</v>
      </c>
      <c r="HG14">
        <v>1.10407614197293E-2</v>
      </c>
      <c r="HH14">
        <v>5.4486607302649842E-2</v>
      </c>
      <c r="HI14">
        <v>1.6203659715995567E-2</v>
      </c>
      <c r="HJ14">
        <v>2.8531592629761959E-2</v>
      </c>
      <c r="HK14">
        <v>3.2311544511342813E-2</v>
      </c>
      <c r="HL14">
        <v>1.6884624390843442E-2</v>
      </c>
      <c r="HM14">
        <v>3.4034288740614975E-2</v>
      </c>
      <c r="HN14">
        <v>1.1859339589494223E-2</v>
      </c>
      <c r="HO14">
        <v>2.0961216781400612E-2</v>
      </c>
      <c r="HP14">
        <v>1.6677323362182438E-2</v>
      </c>
      <c r="HQ14">
        <v>2.9525926255779347E-2</v>
      </c>
      <c r="HR14">
        <v>2.9314034119221802E-2</v>
      </c>
      <c r="HS14">
        <v>3.9067752617550161E-2</v>
      </c>
      <c r="HT14">
        <v>4.3914114264485889E-2</v>
      </c>
      <c r="HU14">
        <v>9.83569182743293E-3</v>
      </c>
      <c r="HV14">
        <v>1.2432708109447663E-2</v>
      </c>
      <c r="HW14">
        <v>3.2082386057001214E-2</v>
      </c>
      <c r="HX14">
        <v>4.6531427347684853E-2</v>
      </c>
      <c r="HY14">
        <v>2.9106361994344358E-2</v>
      </c>
      <c r="HZ14">
        <v>2.9647304948957672E-2</v>
      </c>
      <c r="IA14">
        <v>4.0018467502867291E-2</v>
      </c>
      <c r="IB14">
        <v>2.2494623693090739E-2</v>
      </c>
      <c r="IC14">
        <v>2.5808079018372964E-2</v>
      </c>
      <c r="ID14">
        <v>3.6017038935708873E-2</v>
      </c>
      <c r="IE14">
        <v>2.7986645308761389E-2</v>
      </c>
      <c r="IF14">
        <v>2.4710066875372767E-2</v>
      </c>
      <c r="IG14">
        <v>3.6633998685339307E-2</v>
      </c>
      <c r="IH14">
        <v>3.373563501771621E-2</v>
      </c>
      <c r="II14">
        <v>2.0040219747722351E-2</v>
      </c>
      <c r="IJ14">
        <v>2.8945946378746222E-2</v>
      </c>
      <c r="IK14">
        <v>3.1730199968301058E-2</v>
      </c>
      <c r="IL14">
        <v>7.9607979896422737E-2</v>
      </c>
      <c r="IM14">
        <v>2.4572328711357363E-2</v>
      </c>
      <c r="IN14">
        <v>2.0143901022852233E-2</v>
      </c>
      <c r="IO14">
        <v>2.9305953372626061E-2</v>
      </c>
    </row>
    <row r="15" spans="5:256" x14ac:dyDescent="0.15">
      <c r="E15">
        <v>3.103352545868952E-2</v>
      </c>
      <c r="F15">
        <v>2.4996753217867166E-4</v>
      </c>
      <c r="J15" s="17">
        <v>3.9947035523284338E-2</v>
      </c>
      <c r="K15" s="17">
        <v>3.4990664679138618E-2</v>
      </c>
      <c r="L15" s="17">
        <v>3.5783141693314133E-2</v>
      </c>
      <c r="M15" s="17">
        <v>5.0113929913735179E-2</v>
      </c>
      <c r="N15" s="17">
        <v>1.8401408641390105E-2</v>
      </c>
      <c r="O15" s="17">
        <v>2.1580479881368204E-2</v>
      </c>
      <c r="P15" s="17">
        <v>1.8798195375338941E-2</v>
      </c>
      <c r="Q15" s="17">
        <v>4.8349948241395067E-2</v>
      </c>
      <c r="R15" s="17">
        <v>2.1579331193456869E-2</v>
      </c>
      <c r="S15" s="17">
        <v>4.0420765969787595E-2</v>
      </c>
      <c r="T15">
        <v>3.5195750052477534E-2</v>
      </c>
      <c r="U15">
        <v>2.0848842669946323E-2</v>
      </c>
      <c r="V15">
        <v>3.7060044958092994E-2</v>
      </c>
      <c r="W15">
        <v>2.067969957312564E-2</v>
      </c>
      <c r="X15">
        <v>3.586294313304398E-2</v>
      </c>
      <c r="Y15">
        <v>4.1662152699257264E-2</v>
      </c>
      <c r="Z15">
        <v>1.1246888755642644E-2</v>
      </c>
      <c r="AA15">
        <v>1.4809392178464076E-2</v>
      </c>
      <c r="AB15">
        <v>4.3415222496663582E-2</v>
      </c>
      <c r="AC15">
        <v>1.5600079751333965E-2</v>
      </c>
      <c r="AD15">
        <v>4.1518354763773982E-2</v>
      </c>
      <c r="AE15">
        <v>5.277657495106295E-2</v>
      </c>
      <c r="AF15">
        <v>2.059588174054405E-2</v>
      </c>
      <c r="AG15">
        <v>2.0229040148479528E-2</v>
      </c>
      <c r="AH15">
        <v>5.1252721842757996E-2</v>
      </c>
      <c r="AI15">
        <v>5.2845702042119636E-2</v>
      </c>
      <c r="AJ15">
        <v>4.1831798237077666E-2</v>
      </c>
      <c r="AK15">
        <v>5.3182303631878966E-2</v>
      </c>
      <c r="AL15">
        <v>2.4391894701077527E-2</v>
      </c>
      <c r="AM15">
        <v>2.1506291740934963E-2</v>
      </c>
      <c r="AN15">
        <v>5.2450484719468934E-2</v>
      </c>
      <c r="AO15">
        <v>3.6277608518946403E-2</v>
      </c>
      <c r="AP15">
        <v>2.2835827124052147E-2</v>
      </c>
      <c r="AQ15">
        <v>2.0637405181061268E-2</v>
      </c>
      <c r="AR15">
        <v>3.0226906721893106E-2</v>
      </c>
      <c r="AS15">
        <v>2.5537873683677527E-2</v>
      </c>
      <c r="AT15">
        <v>1.1832525052492743E-2</v>
      </c>
      <c r="AU15">
        <v>1.7507544761155926E-2</v>
      </c>
      <c r="AV15">
        <v>2.3148071055286209E-2</v>
      </c>
      <c r="AW15">
        <v>4.3534345996234507E-2</v>
      </c>
      <c r="AX15">
        <v>2.3271119374093825E-2</v>
      </c>
      <c r="AY15">
        <v>1.9009876243355001E-2</v>
      </c>
      <c r="AZ15">
        <v>3.9699561900142913E-2</v>
      </c>
      <c r="BA15">
        <v>1.1259007521123458E-2</v>
      </c>
      <c r="BB15">
        <v>4.2264544616854464E-2</v>
      </c>
      <c r="BC15">
        <v>1.0751052805834689E-2</v>
      </c>
      <c r="BD15">
        <v>1.5235437154909697E-2</v>
      </c>
      <c r="BE15">
        <v>4.0127905404087193E-2</v>
      </c>
      <c r="BF15">
        <v>2.698743146600624E-2</v>
      </c>
      <c r="BG15">
        <v>4.950428731801599E-2</v>
      </c>
      <c r="BH15">
        <v>1.8343968311900705E-2</v>
      </c>
      <c r="BI15">
        <v>3.9702992424797676E-2</v>
      </c>
      <c r="BJ15">
        <v>5.7101083155627223E-2</v>
      </c>
      <c r="BK15">
        <v>1.7093734720056004E-2</v>
      </c>
      <c r="BL15">
        <v>3.6825035121460202E-2</v>
      </c>
      <c r="BM15">
        <v>2.1316440860985501E-2</v>
      </c>
      <c r="BN15">
        <v>5.595392170595951E-2</v>
      </c>
      <c r="BO15">
        <v>3.3312971792361791E-2</v>
      </c>
      <c r="BP15">
        <v>3.233267004879619E-2</v>
      </c>
      <c r="BQ15">
        <v>3.3385584074280911E-2</v>
      </c>
      <c r="BR15">
        <v>3.0688083692687801E-2</v>
      </c>
      <c r="BS15">
        <v>1.6000946634089849E-2</v>
      </c>
      <c r="BT15">
        <v>2.2947047598754832E-2</v>
      </c>
      <c r="BU15">
        <v>1.5832303706583398E-2</v>
      </c>
      <c r="BV15">
        <v>4.9946033155356825E-2</v>
      </c>
      <c r="BW15">
        <v>1.2496498313804762E-2</v>
      </c>
      <c r="BX15">
        <v>2.4541472181861791E-2</v>
      </c>
      <c r="BY15">
        <v>5.7859606711385798E-2</v>
      </c>
      <c r="BZ15">
        <v>6.8421558689826245E-2</v>
      </c>
      <c r="CA15">
        <v>6.9962295124276971E-2</v>
      </c>
      <c r="CB15">
        <v>2.7515076368789918E-2</v>
      </c>
      <c r="CC15">
        <v>2.8910858124473346E-2</v>
      </c>
      <c r="CD15">
        <v>1.6590388926361097E-2</v>
      </c>
      <c r="CE15">
        <v>2.8346367876676347E-2</v>
      </c>
      <c r="CF15">
        <v>2.7846411938282089E-2</v>
      </c>
      <c r="CG15">
        <v>3.7491031307018544E-2</v>
      </c>
      <c r="CH15">
        <v>3.1951161179055665E-2</v>
      </c>
      <c r="CI15">
        <v>6.6781513892151534E-2</v>
      </c>
      <c r="CJ15">
        <v>2.1135513914687428E-2</v>
      </c>
      <c r="CK15">
        <v>1.8267054300223056E-2</v>
      </c>
      <c r="CL15">
        <v>5.8050273077507736E-2</v>
      </c>
      <c r="CM15">
        <v>2.6420809969504109E-2</v>
      </c>
      <c r="CN15">
        <v>2.1196396778225511E-2</v>
      </c>
      <c r="CO15">
        <v>2.8950276134502628E-2</v>
      </c>
      <c r="CP15">
        <v>2.2310636496076522E-2</v>
      </c>
      <c r="CQ15">
        <v>4.6815139291460764E-2</v>
      </c>
      <c r="CR15">
        <v>2.3816357156738389E-2</v>
      </c>
      <c r="CS15">
        <v>2.617575678533484E-2</v>
      </c>
      <c r="CT15">
        <v>2.0688259236611124E-2</v>
      </c>
      <c r="CU15">
        <v>8.3018535497156418E-2</v>
      </c>
      <c r="CV15">
        <v>3.9201254941147651E-2</v>
      </c>
      <c r="CW15">
        <v>1.3414740488729891E-2</v>
      </c>
      <c r="CX15">
        <v>4.9481300426740538E-2</v>
      </c>
      <c r="CY15">
        <v>3.1608105907476439E-2</v>
      </c>
      <c r="CZ15">
        <v>3.2075677038316007E-2</v>
      </c>
      <c r="DA15">
        <v>2.9239804324649201E-2</v>
      </c>
      <c r="DB15">
        <v>2.2107230645213586E-2</v>
      </c>
      <c r="DC15">
        <v>3.5671089304877286E-2</v>
      </c>
      <c r="DD15">
        <v>1.5711764888567507E-2</v>
      </c>
      <c r="DE15">
        <v>2.4394456610389463E-2</v>
      </c>
      <c r="DF15">
        <v>2.9725161162501207E-2</v>
      </c>
      <c r="DG15">
        <v>3.1425668953541014E-2</v>
      </c>
      <c r="DH15">
        <v>6.6691405715203045E-2</v>
      </c>
      <c r="DI15">
        <v>4.5355625497191646E-2</v>
      </c>
      <c r="DJ15">
        <v>1.9834542212818069E-2</v>
      </c>
      <c r="DK15">
        <v>2.4127983838928748E-2</v>
      </c>
      <c r="DL15">
        <v>5.4909006213178992E-2</v>
      </c>
      <c r="DM15">
        <v>4.3842252505337395E-2</v>
      </c>
      <c r="DN15">
        <v>6.114759684907755E-2</v>
      </c>
      <c r="DO15">
        <v>3.233971783532312E-2</v>
      </c>
      <c r="DP15">
        <v>1.9472174585045507E-2</v>
      </c>
      <c r="DQ15">
        <v>4.4708532860177765E-2</v>
      </c>
      <c r="DR15">
        <v>4.7121138403829282E-2</v>
      </c>
      <c r="DS15">
        <v>6.1514048318605512E-2</v>
      </c>
      <c r="DT15">
        <v>6.2049999961625267E-2</v>
      </c>
      <c r="DU15">
        <v>2.2948764302660588E-2</v>
      </c>
      <c r="DV15">
        <v>2.313357343103372E-2</v>
      </c>
      <c r="DW15">
        <v>4.9076494774162573E-2</v>
      </c>
      <c r="DX15">
        <v>2.1326918931055358E-2</v>
      </c>
      <c r="DY15">
        <v>3.9028924888402323E-2</v>
      </c>
      <c r="DZ15">
        <v>1.1383049676162037E-2</v>
      </c>
      <c r="EA15">
        <v>2.5158201894298269E-2</v>
      </c>
      <c r="EB15">
        <v>3.729419495177369E-2</v>
      </c>
      <c r="EC15">
        <v>2.8774773881998627E-2</v>
      </c>
      <c r="ED15">
        <v>2.6668322804614137E-2</v>
      </c>
      <c r="EE15">
        <v>1.9153050728147981E-2</v>
      </c>
      <c r="EF15">
        <v>3.3537991556715524E-2</v>
      </c>
      <c r="EG15">
        <v>2.625594364814126E-2</v>
      </c>
      <c r="EH15">
        <v>2.3082358506056617E-2</v>
      </c>
      <c r="EI15">
        <v>2.1485185903482494E-2</v>
      </c>
      <c r="EJ15">
        <v>1.2448260834256547E-2</v>
      </c>
      <c r="EK15">
        <v>3.8370830869310008E-2</v>
      </c>
      <c r="EL15">
        <v>1.6038169181123337E-2</v>
      </c>
      <c r="EM15">
        <v>2.8928321763895575E-2</v>
      </c>
      <c r="EN15">
        <v>3.2924675138825285E-2</v>
      </c>
      <c r="EO15">
        <v>3.3668942416157803E-2</v>
      </c>
      <c r="EP15">
        <v>2.6921637293085211E-2</v>
      </c>
      <c r="EQ15">
        <v>2.6780645562223416E-2</v>
      </c>
      <c r="ER15">
        <v>4.3053283996441004E-2</v>
      </c>
      <c r="ES15">
        <v>3.0921177321697076E-2</v>
      </c>
      <c r="ET15">
        <v>3.8719326961227075E-2</v>
      </c>
      <c r="EU15">
        <v>1.9145825138422133E-2</v>
      </c>
      <c r="EV15">
        <v>2.763133442749038E-2</v>
      </c>
      <c r="EW15">
        <v>2.8289050540077586E-2</v>
      </c>
      <c r="EX15">
        <v>1.826794153345607E-2</v>
      </c>
      <c r="EY15">
        <v>3.5559845421609559E-2</v>
      </c>
      <c r="EZ15">
        <v>2.9925211400212062E-2</v>
      </c>
      <c r="FA15">
        <v>2.0826563631679982E-2</v>
      </c>
      <c r="FB15">
        <v>2.9632857361919094E-2</v>
      </c>
      <c r="FC15">
        <v>4.7778616568599379E-2</v>
      </c>
      <c r="FD15">
        <v>2.0471334018562801E-2</v>
      </c>
      <c r="FE15">
        <v>2.8033091642625636E-2</v>
      </c>
      <c r="FF15">
        <v>2.5528292978868418E-2</v>
      </c>
      <c r="FG15">
        <v>1.2096093546861532E-2</v>
      </c>
      <c r="FH15">
        <v>1.5303708829267739E-2</v>
      </c>
      <c r="FI15">
        <v>1.2601316883922195E-2</v>
      </c>
      <c r="FJ15">
        <v>4.8717293495864995E-3</v>
      </c>
      <c r="FK15">
        <v>1.8856328156017448E-2</v>
      </c>
      <c r="FL15">
        <v>3.3067799660491844E-2</v>
      </c>
      <c r="FM15">
        <v>7.5537899984903609E-2</v>
      </c>
      <c r="FN15">
        <v>3.4049370703116075E-2</v>
      </c>
      <c r="FO15">
        <v>1.824813168370925E-2</v>
      </c>
      <c r="FP15">
        <v>3.5467736399319522E-2</v>
      </c>
      <c r="FQ15">
        <v>1.9515990751635962E-2</v>
      </c>
      <c r="FR15">
        <v>2.1280687737087939E-2</v>
      </c>
      <c r="FS15">
        <v>6.7631144583053429E-2</v>
      </c>
      <c r="FT15">
        <v>2.9269243794229571E-2</v>
      </c>
      <c r="FU15">
        <v>4.0625070806691206E-2</v>
      </c>
      <c r="FV15">
        <v>2.9363655011202635E-2</v>
      </c>
      <c r="FW15">
        <v>2.4526058085915122E-2</v>
      </c>
      <c r="FX15">
        <v>3.607319206739406E-2</v>
      </c>
      <c r="FY15">
        <v>1.2986725627887774E-2</v>
      </c>
      <c r="FZ15">
        <v>3.4989338522276738E-2</v>
      </c>
      <c r="GA15">
        <v>4.0960489732519631E-2</v>
      </c>
      <c r="GB15">
        <v>1.6311103820106199E-2</v>
      </c>
      <c r="GC15">
        <v>3.7408223231522215E-2</v>
      </c>
      <c r="GD15">
        <v>1.8792949949753203E-2</v>
      </c>
      <c r="GE15">
        <v>3.7779077088921552E-2</v>
      </c>
      <c r="GF15">
        <v>2.5253457819242993E-2</v>
      </c>
      <c r="GG15">
        <v>3.1427168378671218E-2</v>
      </c>
      <c r="GH15">
        <v>2.9173031992325436E-2</v>
      </c>
      <c r="GI15">
        <v>2.4802253798273471E-2</v>
      </c>
      <c r="GJ15">
        <v>2.3913779739946399E-2</v>
      </c>
      <c r="GK15">
        <v>2.2466115283047029E-2</v>
      </c>
      <c r="GL15">
        <v>1.4166252717293222E-2</v>
      </c>
      <c r="GM15">
        <v>1.6242265152579927E-2</v>
      </c>
      <c r="GN15">
        <v>1.7246786684908675E-2</v>
      </c>
      <c r="GO15">
        <v>3.8322148280839824E-2</v>
      </c>
      <c r="GP15">
        <v>2.5563731269747147E-2</v>
      </c>
      <c r="GQ15">
        <v>2.8896138703428938E-2</v>
      </c>
      <c r="GR15">
        <v>2.0980886952406796E-2</v>
      </c>
      <c r="GS15">
        <v>1.3123064559607199E-2</v>
      </c>
      <c r="GT15">
        <v>1.985111924232489E-2</v>
      </c>
      <c r="GU15">
        <v>1.4411625825690617E-2</v>
      </c>
      <c r="GV15">
        <v>1.2147530304940733E-2</v>
      </c>
      <c r="GW15">
        <v>1.917783125803774E-2</v>
      </c>
      <c r="GX15">
        <v>0.13707432870635028</v>
      </c>
      <c r="GY15">
        <v>1.4210784713358338E-2</v>
      </c>
      <c r="GZ15">
        <v>1.6216442037399435E-2</v>
      </c>
      <c r="HA15">
        <v>4.749101756037815E-2</v>
      </c>
      <c r="HB15">
        <v>2.0586464492413682E-2</v>
      </c>
      <c r="HC15">
        <v>2.2073236182224377E-2</v>
      </c>
      <c r="HD15">
        <v>5.2435426918532382E-2</v>
      </c>
      <c r="HE15">
        <v>2.2320526699350564E-2</v>
      </c>
      <c r="HF15">
        <v>3.1294769650961556E-2</v>
      </c>
      <c r="HG15">
        <v>1.3563891237790409E-2</v>
      </c>
      <c r="HH15">
        <v>5.3608371785179701E-2</v>
      </c>
      <c r="HI15">
        <v>1.3684355027396152E-2</v>
      </c>
      <c r="HJ15">
        <v>2.1212397657338743E-2</v>
      </c>
      <c r="HK15">
        <v>3.1343366091319234E-2</v>
      </c>
      <c r="HL15">
        <v>1.397436613369743E-2</v>
      </c>
      <c r="HM15">
        <v>2.495084365710247E-2</v>
      </c>
      <c r="HN15">
        <v>1.2102447381367568E-2</v>
      </c>
      <c r="HO15">
        <v>2.6416142398794314E-2</v>
      </c>
      <c r="HP15">
        <v>1.7254394720150563E-2</v>
      </c>
      <c r="HQ15">
        <v>2.2777527061652481E-2</v>
      </c>
      <c r="HR15">
        <v>3.8758854188103799E-2</v>
      </c>
      <c r="HS15">
        <v>4.2526835744325878E-2</v>
      </c>
      <c r="HT15">
        <v>4.9910603243397883E-2</v>
      </c>
      <c r="HU15">
        <v>9.6376846965127456E-3</v>
      </c>
      <c r="HV15">
        <v>1.6821170709196399E-2</v>
      </c>
      <c r="HW15">
        <v>2.8343479994446464E-2</v>
      </c>
      <c r="HX15">
        <v>4.1713520326803977E-2</v>
      </c>
      <c r="HY15">
        <v>2.7133706214309647E-2</v>
      </c>
      <c r="HZ15">
        <v>2.8329863096530648E-2</v>
      </c>
      <c r="IA15">
        <v>5.7153037987230454E-2</v>
      </c>
      <c r="IB15">
        <v>2.8645052357488265E-2</v>
      </c>
      <c r="IC15">
        <v>1.7176780257969121E-2</v>
      </c>
      <c r="ID15">
        <v>3.0988258240750969E-2</v>
      </c>
      <c r="IE15">
        <v>2.8640046096937707E-2</v>
      </c>
      <c r="IF15">
        <v>2.9417832650445713E-2</v>
      </c>
      <c r="IG15">
        <v>4.2230380110792151E-2</v>
      </c>
      <c r="IH15">
        <v>3.3612930822990515E-2</v>
      </c>
      <c r="II15">
        <v>2.1926559322432367E-2</v>
      </c>
      <c r="IJ15">
        <v>2.6936534400421996E-2</v>
      </c>
      <c r="IK15">
        <v>2.6733210202100309E-2</v>
      </c>
      <c r="IL15">
        <v>7.6845394551231502E-2</v>
      </c>
      <c r="IM15">
        <v>2.5267021034999691E-2</v>
      </c>
      <c r="IN15">
        <v>1.5182220276798272E-2</v>
      </c>
      <c r="IO15">
        <v>3.4485150032494506E-2</v>
      </c>
    </row>
    <row r="16" spans="5:256" x14ac:dyDescent="0.15">
      <c r="E16">
        <v>3.1341146549750919E-2</v>
      </c>
      <c r="F16">
        <v>3.584082123415783E-4</v>
      </c>
      <c r="J16" s="17">
        <v>4.0451099854631453E-2</v>
      </c>
      <c r="K16" s="17">
        <v>3.5525349626534315E-2</v>
      </c>
      <c r="L16" s="17">
        <v>3.1052119006216697E-2</v>
      </c>
      <c r="M16" s="17">
        <v>5.3018102702558662E-2</v>
      </c>
      <c r="N16" s="17">
        <v>1.6079644171840487E-2</v>
      </c>
      <c r="O16" s="17">
        <v>2.5190540145508283E-2</v>
      </c>
      <c r="P16" s="17">
        <v>2.1606484915284805E-2</v>
      </c>
      <c r="Q16" s="17">
        <v>5.368219355276057E-2</v>
      </c>
      <c r="R16" s="17">
        <v>1.8153065486710702E-2</v>
      </c>
      <c r="S16" s="17">
        <v>2.9267672094919497E-2</v>
      </c>
      <c r="T16">
        <v>2.8073239920032089E-2</v>
      </c>
      <c r="U16">
        <v>1.6295893825251862E-2</v>
      </c>
      <c r="V16">
        <v>4.3438397537510422E-2</v>
      </c>
      <c r="W16">
        <v>2.6648667217314008E-2</v>
      </c>
      <c r="X16">
        <v>4.2827531441250066E-2</v>
      </c>
      <c r="Y16">
        <v>4.7290500517030813E-2</v>
      </c>
      <c r="Z16">
        <v>5.7267870043487207E-3</v>
      </c>
      <c r="AA16">
        <v>1.1710648037970367E-2</v>
      </c>
      <c r="AB16">
        <v>3.5919482827647203E-2</v>
      </c>
      <c r="AC16">
        <v>1.7444792661704213E-2</v>
      </c>
      <c r="AD16">
        <v>5.3689478930185268E-2</v>
      </c>
      <c r="AE16">
        <v>5.3145163923086151E-2</v>
      </c>
      <c r="AF16">
        <v>1.7740524961082006E-2</v>
      </c>
      <c r="AG16">
        <v>1.5695232334236978E-2</v>
      </c>
      <c r="AH16">
        <v>3.6354201549703896E-2</v>
      </c>
      <c r="AI16">
        <v>7.4232584601886156E-2</v>
      </c>
      <c r="AJ16">
        <v>3.5098853216393479E-2</v>
      </c>
      <c r="AK16">
        <v>4.1504523895520257E-2</v>
      </c>
      <c r="AL16">
        <v>2.0287346134929475E-2</v>
      </c>
      <c r="AM16">
        <v>1.8488638825658175E-2</v>
      </c>
      <c r="AN16">
        <v>4.8299652291189682E-2</v>
      </c>
      <c r="AO16">
        <v>3.5666237669440541E-2</v>
      </c>
      <c r="AP16">
        <v>1.3830219499227811E-2</v>
      </c>
      <c r="AQ16">
        <v>1.7577531744228637E-2</v>
      </c>
      <c r="AR16">
        <v>2.8290442869086177E-2</v>
      </c>
      <c r="AS16">
        <v>2.8920421745350137E-2</v>
      </c>
      <c r="AT16">
        <v>1.2638807010770747E-2</v>
      </c>
      <c r="AU16">
        <v>1.9545889095524405E-2</v>
      </c>
      <c r="AV16">
        <v>1.7778144218013259E-2</v>
      </c>
      <c r="AW16">
        <v>4.6209822635892121E-2</v>
      </c>
      <c r="AX16">
        <v>2.7395010731677424E-2</v>
      </c>
      <c r="AY16">
        <v>1.9507022785655425E-2</v>
      </c>
      <c r="AZ16">
        <v>5.7746936297233931E-2</v>
      </c>
      <c r="BA16">
        <v>1.446187218811136E-2</v>
      </c>
      <c r="BB16">
        <v>4.2687911822766066E-2</v>
      </c>
      <c r="BC16">
        <v>1.1810884854730884E-2</v>
      </c>
      <c r="BD16">
        <v>1.6894238859811044E-2</v>
      </c>
      <c r="BE16">
        <v>5.8792991193732151E-2</v>
      </c>
      <c r="BF16">
        <v>3.3419412825093399E-2</v>
      </c>
      <c r="BG16">
        <v>8.3112909066320989E-2</v>
      </c>
      <c r="BH16">
        <v>2.0265924265491057E-2</v>
      </c>
      <c r="BI16">
        <v>4.5400318177722943E-2</v>
      </c>
      <c r="BJ16">
        <v>5.7973035385787089E-2</v>
      </c>
      <c r="BK16">
        <v>1.4321585706924099E-2</v>
      </c>
      <c r="BL16">
        <v>3.6097573430837721E-2</v>
      </c>
      <c r="BM16">
        <v>2.0453812562726228E-2</v>
      </c>
      <c r="BN16">
        <v>5.0570823417400934E-2</v>
      </c>
      <c r="BO16">
        <v>3.8289736950202033E-2</v>
      </c>
      <c r="BP16">
        <v>3.7090679871326498E-2</v>
      </c>
      <c r="BQ16">
        <v>3.837416617000379E-2</v>
      </c>
      <c r="BR16">
        <v>3.7776665363262109E-2</v>
      </c>
      <c r="BS16">
        <v>2.0629022741343716E-2</v>
      </c>
      <c r="BT16">
        <v>3.0222727783277344E-2</v>
      </c>
      <c r="BU16">
        <v>1.2965586528023475E-2</v>
      </c>
      <c r="BV16">
        <v>5.1388048325825213E-2</v>
      </c>
      <c r="BW16">
        <v>1.2535181165234367E-2</v>
      </c>
      <c r="BX16">
        <v>3.7199372833730038E-2</v>
      </c>
      <c r="BY16">
        <v>5.6066407254968399E-2</v>
      </c>
      <c r="BZ16">
        <v>7.3943017997970623E-2</v>
      </c>
      <c r="CA16">
        <v>5.0976399333622413E-2</v>
      </c>
      <c r="CB16">
        <v>2.0695825479292586E-2</v>
      </c>
      <c r="CC16">
        <v>3.2039759511221552E-2</v>
      </c>
      <c r="CD16">
        <v>2.2951927368570248E-2</v>
      </c>
      <c r="CE16">
        <v>3.1314574069311943E-2</v>
      </c>
      <c r="CF16">
        <v>2.9445298066851623E-2</v>
      </c>
      <c r="CG16">
        <v>4.4584829847280967E-2</v>
      </c>
      <c r="CH16">
        <v>2.8728628952695238E-2</v>
      </c>
      <c r="CI16">
        <v>7.8827675686753557E-2</v>
      </c>
      <c r="CJ16">
        <v>2.4493765907412056E-2</v>
      </c>
      <c r="CK16">
        <v>2.0043008860642062E-2</v>
      </c>
      <c r="CL16">
        <v>4.8368465265218333E-2</v>
      </c>
      <c r="CM16">
        <v>1.5854795648618004E-2</v>
      </c>
      <c r="CN16">
        <v>2.6099943028201844E-2</v>
      </c>
      <c r="CO16">
        <v>2.8358192772053054E-2</v>
      </c>
      <c r="CP16">
        <v>2.9849621753704855E-2</v>
      </c>
      <c r="CQ16">
        <v>3.5813050235294783E-2</v>
      </c>
      <c r="CR16">
        <v>2.7476451757701702E-2</v>
      </c>
      <c r="CS16">
        <v>2.8942108585410728E-2</v>
      </c>
      <c r="CT16">
        <v>2.2122906279763821E-2</v>
      </c>
      <c r="CU16">
        <v>7.2249923584264145E-2</v>
      </c>
      <c r="CV16">
        <v>4.3855869871545092E-2</v>
      </c>
      <c r="CW16">
        <v>9.1089863772752973E-3</v>
      </c>
      <c r="CX16">
        <v>5.1088162222655657E-2</v>
      </c>
      <c r="CY16">
        <v>2.9106022674227894E-2</v>
      </c>
      <c r="CZ16">
        <v>2.7876388185916413E-2</v>
      </c>
      <c r="DA16">
        <v>3.5072173382599485E-2</v>
      </c>
      <c r="DB16">
        <v>2.6655892560459624E-2</v>
      </c>
      <c r="DC16">
        <v>3.1060276045071757E-2</v>
      </c>
      <c r="DD16">
        <v>9.9824206847023023E-3</v>
      </c>
      <c r="DE16">
        <v>2.0748550328801858E-2</v>
      </c>
      <c r="DF16">
        <v>2.8172232695988376E-2</v>
      </c>
      <c r="DG16">
        <v>4.2140566421640532E-2</v>
      </c>
      <c r="DH16">
        <v>7.2985272334325474E-2</v>
      </c>
      <c r="DI16">
        <v>3.4993460154136811E-2</v>
      </c>
      <c r="DJ16">
        <v>1.582374574216738E-2</v>
      </c>
      <c r="DK16">
        <v>1.6952155025041375E-2</v>
      </c>
      <c r="DL16">
        <v>6.0604220814850868E-2</v>
      </c>
      <c r="DM16">
        <v>3.7477016611643058E-2</v>
      </c>
      <c r="DN16">
        <v>5.307209902134076E-2</v>
      </c>
      <c r="DO16">
        <v>3.6071452465478514E-2</v>
      </c>
      <c r="DP16">
        <v>1.648964324550686E-2</v>
      </c>
      <c r="DQ16">
        <v>5.9023021464674232E-2</v>
      </c>
      <c r="DR16">
        <v>2.849441933508394E-2</v>
      </c>
      <c r="DS16">
        <v>7.6386494805110186E-2</v>
      </c>
      <c r="DT16">
        <v>3.8052051656610582E-2</v>
      </c>
      <c r="DU16">
        <v>1.9982016227251421E-2</v>
      </c>
      <c r="DV16">
        <v>1.2314405820992263E-2</v>
      </c>
      <c r="DW16">
        <v>2.6225270399454097E-2</v>
      </c>
      <c r="DX16">
        <v>2.3358127891471046E-2</v>
      </c>
      <c r="DY16">
        <v>3.5907642772265838E-2</v>
      </c>
      <c r="DZ16">
        <v>1.2940514534380476E-2</v>
      </c>
      <c r="EA16">
        <v>3.1004758641719036E-2</v>
      </c>
      <c r="EB16">
        <v>3.243825795655067E-2</v>
      </c>
      <c r="EC16">
        <v>2.58865791447009E-2</v>
      </c>
      <c r="ED16">
        <v>2.579472468052537E-2</v>
      </c>
      <c r="EE16">
        <v>1.6278064369542902E-2</v>
      </c>
      <c r="EF16">
        <v>2.8512924285652438E-2</v>
      </c>
      <c r="EG16">
        <v>2.7658665670105071E-2</v>
      </c>
      <c r="EH16">
        <v>2.3834928370865583E-2</v>
      </c>
      <c r="EI16">
        <v>1.9263076304088678E-2</v>
      </c>
      <c r="EJ16">
        <v>1.4077621497541479E-2</v>
      </c>
      <c r="EK16">
        <v>4.2076548077424711E-2</v>
      </c>
      <c r="EL16">
        <v>1.6445627034283709E-2</v>
      </c>
      <c r="EM16">
        <v>1.7224736098624571E-2</v>
      </c>
      <c r="EN16">
        <v>3.8907586547449614E-2</v>
      </c>
      <c r="EO16">
        <v>2.8792499051011167E-2</v>
      </c>
      <c r="EP16">
        <v>2.3313257858761684E-2</v>
      </c>
      <c r="EQ16">
        <v>2.2312764048766774E-2</v>
      </c>
      <c r="ER16">
        <v>4.4266752344851494E-2</v>
      </c>
      <c r="ES16">
        <v>3.7207618172296779E-2</v>
      </c>
      <c r="ET16">
        <v>5.0407063867114035E-2</v>
      </c>
      <c r="EU16">
        <v>1.5717377649270402E-2</v>
      </c>
      <c r="EV16">
        <v>3.2322556229444174E-2</v>
      </c>
      <c r="EW16">
        <v>3.2472529689674241E-2</v>
      </c>
      <c r="EX16">
        <v>1.4173723909503137E-2</v>
      </c>
      <c r="EY16">
        <v>3.9042279045566126E-2</v>
      </c>
      <c r="EZ16">
        <v>2.4416682000227573E-2</v>
      </c>
      <c r="FA16">
        <v>1.9752567442114368E-2</v>
      </c>
      <c r="FB16">
        <v>4.3063616584398327E-2</v>
      </c>
      <c r="FC16">
        <v>6.8506136121023867E-2</v>
      </c>
      <c r="FD16">
        <v>2.1521907791256567E-2</v>
      </c>
      <c r="FE16">
        <v>3.1323263642021176E-2</v>
      </c>
      <c r="FF16">
        <v>2.1146971581997385E-2</v>
      </c>
      <c r="FG16">
        <v>1.0564119541252703E-2</v>
      </c>
      <c r="FH16">
        <v>1.3018497247759397E-2</v>
      </c>
      <c r="FI16">
        <v>1.3106655361186915E-2</v>
      </c>
      <c r="FJ16">
        <v>4.0945164422006089E-3</v>
      </c>
      <c r="FK16">
        <v>2.08707370385003E-2</v>
      </c>
      <c r="FL16">
        <v>2.3052226857955015E-2</v>
      </c>
      <c r="FM16">
        <v>9.5755037876085775E-2</v>
      </c>
      <c r="FN16">
        <v>3.18007240047401E-2</v>
      </c>
      <c r="FO16">
        <v>1.0931542251399697E-2</v>
      </c>
      <c r="FP16">
        <v>4.1799926191855914E-2</v>
      </c>
      <c r="FQ16">
        <v>1.6867375483714329E-2</v>
      </c>
      <c r="FR16">
        <v>2.5494260593889824E-2</v>
      </c>
      <c r="FS16">
        <v>6.1280081165641716E-2</v>
      </c>
      <c r="FT16">
        <v>3.1294378879938481E-2</v>
      </c>
      <c r="FU16">
        <v>4.0318404921888047E-2</v>
      </c>
      <c r="FV16">
        <v>4.9619646775841901E-2</v>
      </c>
      <c r="FW16">
        <v>2.55203779234646E-2</v>
      </c>
      <c r="FX16">
        <v>2.8499556496205683E-2</v>
      </c>
      <c r="FY16">
        <v>9.6697452393546476E-3</v>
      </c>
      <c r="FZ16">
        <v>3.8506703434929714E-2</v>
      </c>
      <c r="GA16">
        <v>3.9973807983695341E-2</v>
      </c>
      <c r="GB16">
        <v>1.3719705212606445E-2</v>
      </c>
      <c r="GC16">
        <v>4.0072629621074218E-2</v>
      </c>
      <c r="GD16">
        <v>1.8663789135913909E-2</v>
      </c>
      <c r="GE16">
        <v>3.7008918119347443E-2</v>
      </c>
      <c r="GF16">
        <v>2.5355193048404251E-2</v>
      </c>
      <c r="GG16">
        <v>1.9296585545347716E-2</v>
      </c>
      <c r="GH16">
        <v>3.4937752824324118E-2</v>
      </c>
      <c r="GI16">
        <v>2.9783426424517253E-2</v>
      </c>
      <c r="GJ16">
        <v>1.99815552683771E-2</v>
      </c>
      <c r="GK16">
        <v>2.7868402923680379E-2</v>
      </c>
      <c r="GL16">
        <v>1.0773617688456289E-2</v>
      </c>
      <c r="GM16">
        <v>6.3165070036536987E-3</v>
      </c>
      <c r="GN16">
        <v>1.5571916778900461E-2</v>
      </c>
      <c r="GO16">
        <v>3.4417274658862212E-2</v>
      </c>
      <c r="GP16">
        <v>2.9639691015366374E-2</v>
      </c>
      <c r="GQ16">
        <v>2.6935709471859998E-2</v>
      </c>
      <c r="GR16">
        <v>1.6180350055537106E-2</v>
      </c>
      <c r="GS16">
        <v>1.5463052473094079E-2</v>
      </c>
      <c r="GT16">
        <v>1.8926176277007111E-2</v>
      </c>
      <c r="GU16">
        <v>1.7167034757083699E-2</v>
      </c>
      <c r="GV16">
        <v>1.3446866393093714E-2</v>
      </c>
      <c r="GW16">
        <v>1.7472855267600385E-2</v>
      </c>
      <c r="GX16">
        <v>0.1682473651137569</v>
      </c>
      <c r="GY16">
        <v>1.1461874098096176E-2</v>
      </c>
      <c r="GZ16">
        <v>1.2537118957603337E-2</v>
      </c>
      <c r="HA16">
        <v>4.5185239980541532E-2</v>
      </c>
      <c r="HB16">
        <v>6.6898434045971761E-3</v>
      </c>
      <c r="HC16">
        <v>2.8389933547702813E-2</v>
      </c>
      <c r="HD16">
        <v>4.7739955030191086E-2</v>
      </c>
      <c r="HE16">
        <v>2.5684387730881227E-2</v>
      </c>
      <c r="HF16">
        <v>3.1509717558116719E-2</v>
      </c>
      <c r="HG16">
        <v>1.5771808108817502E-2</v>
      </c>
      <c r="HH16">
        <v>5.7128186296317947E-2</v>
      </c>
      <c r="HI16">
        <v>1.2963132795851269E-2</v>
      </c>
      <c r="HJ16">
        <v>1.5911576437701296E-2</v>
      </c>
      <c r="HK16">
        <v>2.5959696664368793E-2</v>
      </c>
      <c r="HL16">
        <v>1.7502128650355969E-2</v>
      </c>
      <c r="HM16">
        <v>2.5164525657452856E-2</v>
      </c>
      <c r="HN16">
        <v>1.1484451829582536E-2</v>
      </c>
      <c r="HO16">
        <v>2.5247314098205E-2</v>
      </c>
      <c r="HP16">
        <v>1.5840517878188961E-2</v>
      </c>
      <c r="HQ16">
        <v>2.1565614360082523E-2</v>
      </c>
      <c r="HR16">
        <v>3.2199365339504619E-2</v>
      </c>
      <c r="HS16">
        <v>4.4232878497843645E-2</v>
      </c>
      <c r="HT16">
        <v>5.2022543406965646E-2</v>
      </c>
      <c r="HU16">
        <v>9.6275717769728347E-3</v>
      </c>
      <c r="HV16">
        <v>1.5532149701232883E-2</v>
      </c>
      <c r="HW16">
        <v>2.2487126280310962E-2</v>
      </c>
      <c r="HX16">
        <v>5.2723090563791E-2</v>
      </c>
      <c r="HY16">
        <v>1.8676516097546895E-2</v>
      </c>
      <c r="HZ16">
        <v>2.5729065100513294E-2</v>
      </c>
      <c r="IA16">
        <v>7.0013095766835592E-2</v>
      </c>
      <c r="IB16">
        <v>2.4315037384713422E-2</v>
      </c>
      <c r="IC16">
        <v>1.7929818773466367E-2</v>
      </c>
      <c r="ID16">
        <v>4.0346615784533836E-2</v>
      </c>
      <c r="IE16">
        <v>2.3490580583446732E-2</v>
      </c>
      <c r="IF16">
        <v>2.7084919522488208E-2</v>
      </c>
      <c r="IG16">
        <v>3.9575767552118973E-2</v>
      </c>
      <c r="IH16">
        <v>3.2017204669727198E-2</v>
      </c>
      <c r="II16">
        <v>1.6844379435914353E-2</v>
      </c>
      <c r="IJ16">
        <v>2.6739209820626171E-2</v>
      </c>
      <c r="IK16">
        <v>1.8696124390492536E-2</v>
      </c>
      <c r="IL16">
        <v>0.10786836223767235</v>
      </c>
      <c r="IM16">
        <v>3.7524441635615552E-2</v>
      </c>
      <c r="IN16">
        <v>9.6707176554166989E-3</v>
      </c>
      <c r="IO16">
        <v>4.1296674357896322E-2</v>
      </c>
    </row>
    <row r="17" spans="5:249" x14ac:dyDescent="0.15">
      <c r="E17">
        <v>3.0813246949283876E-2</v>
      </c>
      <c r="F17">
        <v>3.6066601231513155E-4</v>
      </c>
      <c r="J17" s="17">
        <v>5.7520887438196326E-2</v>
      </c>
      <c r="K17" s="17">
        <v>3.191134960854719E-2</v>
      </c>
      <c r="L17" s="17">
        <v>3.0978436111973467E-2</v>
      </c>
      <c r="M17" s="17">
        <v>3.6849572456910451E-2</v>
      </c>
      <c r="N17" s="17">
        <v>1.5928532811737676E-2</v>
      </c>
      <c r="O17" s="17">
        <v>2.6519251255762655E-2</v>
      </c>
      <c r="P17" s="17">
        <v>2.6313774016844423E-2</v>
      </c>
      <c r="Q17" s="17">
        <v>4.8572810641656076E-2</v>
      </c>
      <c r="R17" s="17">
        <v>1.84486829760863E-2</v>
      </c>
      <c r="S17" s="17">
        <v>3.3125704825460733E-2</v>
      </c>
      <c r="T17">
        <v>3.7205087972357838E-2</v>
      </c>
      <c r="U17">
        <v>1.3132536316269395E-2</v>
      </c>
      <c r="V17">
        <v>4.1428904451701186E-2</v>
      </c>
      <c r="W17">
        <v>2.7129797765312002E-2</v>
      </c>
      <c r="X17">
        <v>3.8831423253236151E-2</v>
      </c>
      <c r="Y17">
        <v>3.8281567737998477E-2</v>
      </c>
      <c r="Z17">
        <v>5.7484234950581237E-3</v>
      </c>
      <c r="AA17">
        <v>1.1616482548842877E-2</v>
      </c>
      <c r="AB17">
        <v>4.8301947359054354E-2</v>
      </c>
      <c r="AC17">
        <v>1.2190439994677411E-2</v>
      </c>
      <c r="AD17">
        <v>4.6384084685801692E-2</v>
      </c>
      <c r="AE17">
        <v>5.1276512092791944E-2</v>
      </c>
      <c r="AF17">
        <v>2.4505907959782879E-2</v>
      </c>
      <c r="AG17">
        <v>1.7537069656345466E-2</v>
      </c>
      <c r="AH17">
        <v>3.4434985174703024E-2</v>
      </c>
      <c r="AI17">
        <v>6.7292619505474882E-2</v>
      </c>
      <c r="AJ17">
        <v>4.1472114373792855E-2</v>
      </c>
      <c r="AK17">
        <v>4.3051942426957347E-2</v>
      </c>
      <c r="AL17">
        <v>1.7696606611021928E-2</v>
      </c>
      <c r="AM17">
        <v>1.6747683280656921E-2</v>
      </c>
      <c r="AN17">
        <v>4.4313540889594875E-2</v>
      </c>
      <c r="AO17">
        <v>2.1295387831013448E-2</v>
      </c>
      <c r="AP17">
        <v>1.5848259483787378E-2</v>
      </c>
      <c r="AQ17">
        <v>1.9214113863579085E-2</v>
      </c>
      <c r="AR17">
        <v>4.3404658938439436E-2</v>
      </c>
      <c r="AS17">
        <v>3.5318113882505553E-2</v>
      </c>
      <c r="AT17">
        <v>7.8571909050349775E-3</v>
      </c>
      <c r="AU17">
        <v>2.3878567675709301E-2</v>
      </c>
      <c r="AV17">
        <v>1.610156376009686E-2</v>
      </c>
      <c r="AW17">
        <v>3.4787912380832481E-2</v>
      </c>
      <c r="AX17">
        <v>3.1954954306190969E-2</v>
      </c>
      <c r="AY17">
        <v>2.1823189745236567E-2</v>
      </c>
      <c r="AZ17">
        <v>5.444237095962589E-2</v>
      </c>
      <c r="BA17">
        <v>8.2643678438029926E-3</v>
      </c>
      <c r="BB17">
        <v>4.0436226601970507E-2</v>
      </c>
      <c r="BC17">
        <v>1.2489127331748678E-2</v>
      </c>
      <c r="BD17">
        <v>1.6660886350509919E-2</v>
      </c>
      <c r="BE17">
        <v>7.0512882027220655E-2</v>
      </c>
      <c r="BF17">
        <v>2.8115459126025512E-2</v>
      </c>
      <c r="BG17">
        <v>0.10768728200283598</v>
      </c>
      <c r="BH17">
        <v>1.9765835462555996E-2</v>
      </c>
      <c r="BI17">
        <v>3.9590813362663763E-2</v>
      </c>
      <c r="BJ17">
        <v>6.6264434754988125E-2</v>
      </c>
      <c r="BK17">
        <v>8.6567229097062916E-3</v>
      </c>
      <c r="BL17">
        <v>4.4924576741413383E-2</v>
      </c>
      <c r="BM17">
        <v>2.6635412258505686E-2</v>
      </c>
      <c r="BN17">
        <v>4.4404004024827734E-2</v>
      </c>
      <c r="BO17">
        <v>3.015968443453635E-2</v>
      </c>
      <c r="BP17">
        <v>3.7039879627693346E-2</v>
      </c>
      <c r="BQ17">
        <v>3.664593081956373E-2</v>
      </c>
      <c r="BR17">
        <v>3.8708614353811288E-2</v>
      </c>
      <c r="BS17">
        <v>1.6526832222227658E-2</v>
      </c>
      <c r="BT17">
        <v>3.410389653205903E-2</v>
      </c>
      <c r="BU17">
        <v>1.0818498315278117E-2</v>
      </c>
      <c r="BV17">
        <v>3.9544255234064699E-2</v>
      </c>
      <c r="BW17">
        <v>1.1077114938548868E-2</v>
      </c>
      <c r="BX17">
        <v>2.1715870976187095E-2</v>
      </c>
      <c r="BY17">
        <v>6.9688383296521147E-2</v>
      </c>
      <c r="BZ17">
        <v>8.5460293105716165E-2</v>
      </c>
      <c r="CA17">
        <v>5.6265679108815921E-2</v>
      </c>
      <c r="CB17">
        <v>2.0402721470180012E-2</v>
      </c>
      <c r="CC17">
        <v>2.4633405005524751E-2</v>
      </c>
      <c r="CD17">
        <v>2.3401777085896476E-2</v>
      </c>
      <c r="CE17">
        <v>2.6916793830003519E-2</v>
      </c>
      <c r="CF17">
        <v>3.0923284543188156E-2</v>
      </c>
      <c r="CG17">
        <v>3.625839983609043E-2</v>
      </c>
      <c r="CH17">
        <v>2.0180703428773511E-2</v>
      </c>
      <c r="CI17">
        <v>7.536006901844737E-2</v>
      </c>
      <c r="CJ17">
        <v>2.2943495888940939E-2</v>
      </c>
      <c r="CK17">
        <v>2.1733215971855364E-2</v>
      </c>
      <c r="CL17">
        <v>3.7315464774963128E-2</v>
      </c>
      <c r="CM17">
        <v>1.5228424453089414E-2</v>
      </c>
      <c r="CN17">
        <v>1.9739109189641758E-2</v>
      </c>
      <c r="CO17">
        <v>2.0031435314795946E-2</v>
      </c>
      <c r="CP17">
        <v>3.5284838461788752E-2</v>
      </c>
      <c r="CQ17">
        <v>2.3073855358884565E-2</v>
      </c>
      <c r="CR17">
        <v>1.8221892113252074E-2</v>
      </c>
      <c r="CS17">
        <v>1.9254158935622698E-2</v>
      </c>
      <c r="CT17">
        <v>2.2759743944707922E-2</v>
      </c>
      <c r="CU17">
        <v>7.0230654547032825E-2</v>
      </c>
      <c r="CV17">
        <v>3.1181316739242217E-2</v>
      </c>
      <c r="CW17">
        <v>9.0571329448315245E-3</v>
      </c>
      <c r="CX17">
        <v>4.8058537641478494E-2</v>
      </c>
      <c r="CY17">
        <v>2.8673271084507842E-2</v>
      </c>
      <c r="CZ17">
        <v>3.0144530502085643E-2</v>
      </c>
      <c r="DA17">
        <v>4.1099239175018377E-2</v>
      </c>
      <c r="DB17">
        <v>2.3414775648574138E-2</v>
      </c>
      <c r="DC17">
        <v>1.9320893205602312E-2</v>
      </c>
      <c r="DD17">
        <v>6.6048937466478812E-3</v>
      </c>
      <c r="DE17">
        <v>1.8385652854081065E-2</v>
      </c>
      <c r="DF17">
        <v>2.1564949301765432E-2</v>
      </c>
      <c r="DG17">
        <v>4.0084419593591804E-2</v>
      </c>
      <c r="DH17">
        <v>6.4127253505864096E-2</v>
      </c>
      <c r="DI17">
        <v>3.2032819897933849E-2</v>
      </c>
      <c r="DJ17">
        <v>2.5878557770702814E-2</v>
      </c>
      <c r="DK17">
        <v>1.9812823142922095E-2</v>
      </c>
      <c r="DL17">
        <v>5.3218094371049809E-2</v>
      </c>
      <c r="DM17">
        <v>4.2216317162868791E-2</v>
      </c>
      <c r="DN17">
        <v>5.7766907021908627E-2</v>
      </c>
      <c r="DO17">
        <v>4.979361028166257E-2</v>
      </c>
      <c r="DP17">
        <v>1.6295337207749665E-2</v>
      </c>
      <c r="DQ17">
        <v>5.8624128648214431E-2</v>
      </c>
      <c r="DR17">
        <v>1.4316675733565725E-2</v>
      </c>
      <c r="DS17">
        <v>7.8248293348690504E-2</v>
      </c>
      <c r="DT17">
        <v>4.3839680547426742E-2</v>
      </c>
      <c r="DU17">
        <v>2.4037861982719351E-2</v>
      </c>
      <c r="DV17">
        <v>1.1011666202250508E-2</v>
      </c>
      <c r="DW17">
        <v>2.8619845020239815E-2</v>
      </c>
      <c r="DX17">
        <v>2.6640391842343739E-2</v>
      </c>
      <c r="DY17">
        <v>3.1970906884181173E-2</v>
      </c>
      <c r="DZ17">
        <v>1.4995439145468012E-2</v>
      </c>
      <c r="EA17">
        <v>4.1342893575626927E-2</v>
      </c>
      <c r="EB17">
        <v>2.3327593136229004E-2</v>
      </c>
      <c r="EC17">
        <v>2.9404834780307622E-2</v>
      </c>
      <c r="ED17">
        <v>2.2228459093295301E-2</v>
      </c>
      <c r="EE17">
        <v>1.5697272008691036E-2</v>
      </c>
      <c r="EF17">
        <v>2.702827038498809E-2</v>
      </c>
      <c r="EG17">
        <v>2.1989467208209056E-2</v>
      </c>
      <c r="EH17">
        <v>2.353920106162494E-2</v>
      </c>
      <c r="EI17">
        <v>2.0271596433931744E-2</v>
      </c>
      <c r="EJ17">
        <v>9.5217248717234526E-3</v>
      </c>
      <c r="EK17">
        <v>5.3223742095350045E-2</v>
      </c>
      <c r="EL17">
        <v>1.8807175230327228E-2</v>
      </c>
      <c r="EM17">
        <v>2.2067299307406342E-2</v>
      </c>
      <c r="EN17">
        <v>4.0704478592824174E-2</v>
      </c>
      <c r="EO17">
        <v>3.8951853161711486E-2</v>
      </c>
      <c r="EP17">
        <v>2.8538956813806363E-2</v>
      </c>
      <c r="EQ17">
        <v>1.9968338018702621E-2</v>
      </c>
      <c r="ER17">
        <v>4.4014341101565102E-2</v>
      </c>
      <c r="ES17">
        <v>2.6012807308554899E-2</v>
      </c>
      <c r="ET17">
        <v>4.4699729531689693E-2</v>
      </c>
      <c r="EU17">
        <v>8.7703746155535396E-3</v>
      </c>
      <c r="EV17">
        <v>4.076328849121176E-2</v>
      </c>
      <c r="EW17">
        <v>3.5026645088615131E-2</v>
      </c>
      <c r="EX17">
        <v>1.4570674062951419E-2</v>
      </c>
      <c r="EY17">
        <v>4.0345818054406263E-2</v>
      </c>
      <c r="EZ17">
        <v>1.5947529269408629E-2</v>
      </c>
      <c r="FA17">
        <v>2.110418665193738E-2</v>
      </c>
      <c r="FB17">
        <v>5.3582967411545106E-2</v>
      </c>
      <c r="FC17">
        <v>5.7797536756289389E-2</v>
      </c>
      <c r="FD17">
        <v>2.3721218096873841E-2</v>
      </c>
      <c r="FE17">
        <v>2.2071257844167885E-2</v>
      </c>
      <c r="FF17">
        <v>2.0910622372758834E-2</v>
      </c>
      <c r="FG17">
        <v>9.5137154356822583E-3</v>
      </c>
      <c r="FH17">
        <v>1.5758284916084841E-2</v>
      </c>
      <c r="FI17">
        <v>1.156381293617764E-2</v>
      </c>
      <c r="FJ17">
        <v>4.5483884172098123E-3</v>
      </c>
      <c r="FK17">
        <v>1.4897278828198312E-2</v>
      </c>
      <c r="FL17">
        <v>2.171345250599584E-2</v>
      </c>
      <c r="FM17">
        <v>9.3832483435649192E-2</v>
      </c>
      <c r="FN17">
        <v>2.3015566979834673E-2</v>
      </c>
      <c r="FO17">
        <v>1.3482046837778571E-2</v>
      </c>
      <c r="FP17">
        <v>4.0087022431588987E-2</v>
      </c>
      <c r="FQ17">
        <v>1.9151527896179455E-2</v>
      </c>
      <c r="FR17">
        <v>3.3684919917489523E-2</v>
      </c>
      <c r="FS17">
        <v>3.9581463894076123E-2</v>
      </c>
      <c r="FT17">
        <v>2.4086075900633445E-2</v>
      </c>
      <c r="FU17">
        <v>4.761950219448078E-2</v>
      </c>
      <c r="FV17">
        <v>4.8697913832374505E-2</v>
      </c>
      <c r="FW17">
        <v>4.0776134437337998E-2</v>
      </c>
      <c r="FX17">
        <v>2.4079617407053715E-2</v>
      </c>
      <c r="FY17">
        <v>1.1854889338767381E-2</v>
      </c>
      <c r="FZ17">
        <v>4.2636787128049317E-2</v>
      </c>
      <c r="GA17">
        <v>4.885474665785771E-2</v>
      </c>
      <c r="GB17">
        <v>1.104782549318895E-2</v>
      </c>
      <c r="GC17">
        <v>5.027584765769659E-2</v>
      </c>
      <c r="GD17">
        <v>1.6298359993313912E-2</v>
      </c>
      <c r="GE17">
        <v>5.5562864645982674E-2</v>
      </c>
      <c r="GF17">
        <v>2.7182495079258212E-2</v>
      </c>
      <c r="GG17">
        <v>1.9447662605069929E-2</v>
      </c>
      <c r="GH17">
        <v>3.4254657801598226E-2</v>
      </c>
      <c r="GI17">
        <v>2.7827952818986836E-2</v>
      </c>
      <c r="GJ17">
        <v>2.4796733108089598E-2</v>
      </c>
      <c r="GK17">
        <v>2.0136211615535825E-2</v>
      </c>
      <c r="GL17">
        <v>9.0796965130380478E-3</v>
      </c>
      <c r="GM17">
        <v>7.6403186821369434E-3</v>
      </c>
      <c r="GN17">
        <v>2.0731138921506707E-2</v>
      </c>
      <c r="GO17">
        <v>2.9070028954826452E-2</v>
      </c>
      <c r="GP17">
        <v>3.3328854377431182E-2</v>
      </c>
      <c r="GQ17">
        <v>3.6995789121891651E-2</v>
      </c>
      <c r="GR17">
        <v>1.2421838597712237E-2</v>
      </c>
      <c r="GS17">
        <v>1.4094800787774864E-2</v>
      </c>
      <c r="GT17">
        <v>1.5278180421434149E-2</v>
      </c>
      <c r="GU17">
        <v>1.2836310898854527E-2</v>
      </c>
      <c r="GV17">
        <v>1.2196610705313886E-2</v>
      </c>
      <c r="GW17">
        <v>1.3426316798065541E-2</v>
      </c>
      <c r="GX17">
        <v>0.14267106853507722</v>
      </c>
      <c r="GY17">
        <v>9.6762800402941801E-3</v>
      </c>
      <c r="GZ17">
        <v>6.6816256374182034E-3</v>
      </c>
      <c r="HA17">
        <v>5.2733770275770725E-2</v>
      </c>
      <c r="HB17">
        <v>8.0039862438797543E-3</v>
      </c>
      <c r="HC17">
        <v>4.4030385728439349E-2</v>
      </c>
      <c r="HD17">
        <v>4.8817269382125758E-2</v>
      </c>
      <c r="HE17">
        <v>2.4617368378715455E-2</v>
      </c>
      <c r="HF17">
        <v>2.7375287616849292E-2</v>
      </c>
      <c r="HG17">
        <v>2.2340731109247412E-2</v>
      </c>
      <c r="HH17">
        <v>7.328828714415507E-2</v>
      </c>
      <c r="HI17">
        <v>1.6047060332707409E-2</v>
      </c>
      <c r="HJ17">
        <v>1.1807934019919678E-2</v>
      </c>
      <c r="HK17">
        <v>3.311691016052664E-2</v>
      </c>
      <c r="HL17">
        <v>2.0990077349780315E-2</v>
      </c>
      <c r="HM17">
        <v>2.3699928733286257E-2</v>
      </c>
      <c r="HN17">
        <v>1.8602475011011765E-2</v>
      </c>
      <c r="HO17">
        <v>2.3382375528224454E-2</v>
      </c>
      <c r="HP17">
        <v>1.7876727650646424E-2</v>
      </c>
      <c r="HQ17">
        <v>2.319232335859327E-2</v>
      </c>
      <c r="HR17">
        <v>4.4366584812764821E-2</v>
      </c>
      <c r="HS17">
        <v>3.3214027689825378E-2</v>
      </c>
      <c r="HT17">
        <v>5.3731138194419589E-2</v>
      </c>
      <c r="HU17">
        <v>1.0716558515545259E-2</v>
      </c>
      <c r="HV17">
        <v>2.0918115765120811E-2</v>
      </c>
      <c r="HW17">
        <v>1.781265955412735E-2</v>
      </c>
      <c r="HX17">
        <v>5.7675624065848821E-2</v>
      </c>
      <c r="HY17">
        <v>1.1845325094575671E-2</v>
      </c>
      <c r="HZ17">
        <v>1.5769020158847995E-2</v>
      </c>
      <c r="IA17">
        <v>6.9621549658728507E-2</v>
      </c>
      <c r="IB17">
        <v>2.7418980062265084E-2</v>
      </c>
      <c r="IC17">
        <v>1.8632253836230482E-2</v>
      </c>
      <c r="ID17">
        <v>3.7528747400461776E-2</v>
      </c>
      <c r="IE17">
        <v>3.0697572953997977E-2</v>
      </c>
      <c r="IF17">
        <v>1.8686778932984378E-2</v>
      </c>
      <c r="IG17">
        <v>4.025834712296792E-2</v>
      </c>
      <c r="IH17">
        <v>1.5546618713509952E-2</v>
      </c>
      <c r="II17">
        <v>1.2899849474301305E-2</v>
      </c>
      <c r="IJ17">
        <v>2.9933466868557104E-2</v>
      </c>
      <c r="IK17">
        <v>1.4692452546168517E-2</v>
      </c>
      <c r="IL17">
        <v>8.9188875557849184E-2</v>
      </c>
      <c r="IM17">
        <v>3.0519154094044862E-2</v>
      </c>
      <c r="IN17">
        <v>1.1398663704379227E-2</v>
      </c>
      <c r="IO17">
        <v>2.6069158936124697E-2</v>
      </c>
    </row>
    <row r="18" spans="5:249" x14ac:dyDescent="0.15">
      <c r="E18">
        <v>3.0908766475760248E-2</v>
      </c>
      <c r="F18">
        <v>4.2856125726713711E-4</v>
      </c>
      <c r="J18" s="17">
        <v>5.8428166301475612E-2</v>
      </c>
      <c r="K18" s="17">
        <v>2.7795986830733321E-2</v>
      </c>
      <c r="L18" s="17">
        <v>3.5415658504175308E-2</v>
      </c>
      <c r="M18" s="17">
        <v>4.8212059323781267E-2</v>
      </c>
      <c r="N18" s="17">
        <v>1.5677648390387985E-2</v>
      </c>
      <c r="O18" s="17">
        <v>3.2545478802327589E-2</v>
      </c>
      <c r="P18" s="17">
        <v>4.0506311970651736E-2</v>
      </c>
      <c r="Q18" s="17">
        <v>4.2230188433371008E-2</v>
      </c>
      <c r="R18" s="17">
        <v>1.5318421290330956E-2</v>
      </c>
      <c r="S18" s="17">
        <v>3.1785753501210504E-2</v>
      </c>
      <c r="T18">
        <v>3.3972897480120494E-2</v>
      </c>
      <c r="U18">
        <v>1.1413415735623831E-2</v>
      </c>
      <c r="V18">
        <v>3.5691402138893658E-2</v>
      </c>
      <c r="W18">
        <v>2.2439937333122106E-2</v>
      </c>
      <c r="X18">
        <v>3.2454121145620761E-2</v>
      </c>
      <c r="Y18">
        <v>3.3484136067563286E-2</v>
      </c>
      <c r="Z18">
        <v>6.5192870614428052E-3</v>
      </c>
      <c r="AA18">
        <v>1.1098645535828044E-2</v>
      </c>
      <c r="AB18">
        <v>5.6895005269177075E-2</v>
      </c>
      <c r="AC18">
        <v>1.1170903278212603E-2</v>
      </c>
      <c r="AD18">
        <v>4.7967559557319801E-2</v>
      </c>
      <c r="AE18">
        <v>5.0830108008434807E-2</v>
      </c>
      <c r="AF18">
        <v>3.7044157333285178E-2</v>
      </c>
      <c r="AG18">
        <v>1.8343836927410252E-2</v>
      </c>
      <c r="AH18">
        <v>2.6131898926085147E-2</v>
      </c>
      <c r="AI18">
        <v>7.2441941202885288E-2</v>
      </c>
      <c r="AJ18">
        <v>4.8121697085424034E-2</v>
      </c>
      <c r="AK18">
        <v>5.2826670749398452E-2</v>
      </c>
      <c r="AL18">
        <v>1.7456232076173989E-2</v>
      </c>
      <c r="AM18">
        <v>1.2595085179208407E-2</v>
      </c>
      <c r="AN18">
        <v>3.2478382252933355E-2</v>
      </c>
      <c r="AO18">
        <v>2.4902288616223647E-2</v>
      </c>
      <c r="AP18">
        <v>1.2157886825377726E-2</v>
      </c>
      <c r="AQ18">
        <v>1.7721411392800177E-2</v>
      </c>
      <c r="AR18">
        <v>4.2416659801267652E-2</v>
      </c>
      <c r="AS18">
        <v>2.8125473004332539E-2</v>
      </c>
      <c r="AT18">
        <v>1.158562347236577E-2</v>
      </c>
      <c r="AU18">
        <v>2.0295835047301598E-2</v>
      </c>
      <c r="AV18">
        <v>1.8934133167947908E-2</v>
      </c>
      <c r="AW18">
        <v>3.40600316983291E-2</v>
      </c>
      <c r="AX18">
        <v>2.930174509850025E-2</v>
      </c>
      <c r="AY18">
        <v>3.2315290607567063E-2</v>
      </c>
      <c r="AZ18">
        <v>4.3857973763724842E-2</v>
      </c>
      <c r="BA18">
        <v>9.4274047620492366E-3</v>
      </c>
      <c r="BB18">
        <v>2.7999377974392961E-2</v>
      </c>
      <c r="BC18">
        <v>1.4323688987035236E-2</v>
      </c>
      <c r="BD18">
        <v>1.8970283947234066E-2</v>
      </c>
      <c r="BE18">
        <v>6.8801122469631368E-2</v>
      </c>
      <c r="BF18">
        <v>4.1111632883867461E-2</v>
      </c>
      <c r="BG18">
        <v>0.15426400364566673</v>
      </c>
      <c r="BH18">
        <v>2.1115537300762231E-2</v>
      </c>
      <c r="BI18">
        <v>4.110353502902974E-2</v>
      </c>
      <c r="BJ18">
        <v>5.4341354068390746E-2</v>
      </c>
      <c r="BK18">
        <v>1.3065336178958605E-2</v>
      </c>
      <c r="BL18">
        <v>4.296640798324778E-2</v>
      </c>
      <c r="BM18">
        <v>3.1120882340708877E-2</v>
      </c>
      <c r="BN18">
        <v>5.3861916896371972E-2</v>
      </c>
      <c r="BO18">
        <v>4.2141511587755268E-2</v>
      </c>
      <c r="BP18">
        <v>3.8578055991678233E-2</v>
      </c>
      <c r="BQ18">
        <v>4.3757086388772667E-2</v>
      </c>
      <c r="BR18">
        <v>4.6520050554112638E-2</v>
      </c>
      <c r="BS18">
        <v>9.9755524014730774E-3</v>
      </c>
      <c r="BT18">
        <v>2.4511318088170125E-2</v>
      </c>
      <c r="BU18">
        <v>1.0696654622583649E-2</v>
      </c>
      <c r="BV18">
        <v>2.6820550101945725E-2</v>
      </c>
      <c r="BW18">
        <v>1.0236327626616951E-2</v>
      </c>
      <c r="BX18">
        <v>1.5762071533713586E-2</v>
      </c>
      <c r="BY18">
        <v>8.8902298173601416E-2</v>
      </c>
      <c r="BZ18">
        <v>9.4661191868543673E-2</v>
      </c>
      <c r="CA18">
        <v>3.6058518210405288E-2</v>
      </c>
      <c r="CB18">
        <v>1.9793158636377078E-2</v>
      </c>
      <c r="CC18">
        <v>2.0489542832321156E-2</v>
      </c>
      <c r="CD18">
        <v>2.7004960295871773E-2</v>
      </c>
      <c r="CE18">
        <v>2.0673985598240151E-2</v>
      </c>
      <c r="CF18">
        <v>2.8211013579131663E-2</v>
      </c>
      <c r="CG18">
        <v>2.7105031635319556E-2</v>
      </c>
      <c r="CH18">
        <v>1.3109846715897716E-2</v>
      </c>
      <c r="CI18">
        <v>5.9094740644077944E-2</v>
      </c>
      <c r="CJ18">
        <v>2.611755961308369E-2</v>
      </c>
      <c r="CK18">
        <v>1.5723511640388054E-2</v>
      </c>
      <c r="CL18">
        <v>3.0815334120044429E-2</v>
      </c>
      <c r="CM18">
        <v>1.684085239228517E-2</v>
      </c>
      <c r="CN18">
        <v>2.236958879351264E-2</v>
      </c>
      <c r="CO18">
        <v>2.5505485809425216E-2</v>
      </c>
      <c r="CP18">
        <v>3.9129323435262972E-2</v>
      </c>
      <c r="CQ18">
        <v>2.3478129907340089E-2</v>
      </c>
      <c r="CR18">
        <v>2.2306713722046283E-2</v>
      </c>
      <c r="CS18">
        <v>1.7201641062651679E-2</v>
      </c>
      <c r="CT18">
        <v>2.6007873632710406E-2</v>
      </c>
      <c r="CU18">
        <v>8.5843508084181952E-2</v>
      </c>
      <c r="CV18">
        <v>3.2100717702288659E-2</v>
      </c>
      <c r="CW18">
        <v>9.3344609642152937E-3</v>
      </c>
      <c r="CX18">
        <v>5.0923200008324503E-2</v>
      </c>
      <c r="CY18">
        <v>2.1321272851150302E-2</v>
      </c>
      <c r="CZ18">
        <v>2.774171866314281E-2</v>
      </c>
      <c r="DA18">
        <v>4.5701180028429864E-2</v>
      </c>
      <c r="DB18">
        <v>1.5222162776414756E-2</v>
      </c>
      <c r="DC18">
        <v>1.8365834262229371E-2</v>
      </c>
      <c r="DD18">
        <v>7.7659160245146701E-3</v>
      </c>
      <c r="DE18">
        <v>1.9910561864210901E-2</v>
      </c>
      <c r="DF18">
        <v>2.6684192331525868E-2</v>
      </c>
      <c r="DG18">
        <v>3.2555124619661931E-2</v>
      </c>
      <c r="DH18">
        <v>6.3310542285578961E-2</v>
      </c>
      <c r="DI18">
        <v>2.3022708327733562E-2</v>
      </c>
      <c r="DJ18">
        <v>2.4206276177294431E-2</v>
      </c>
      <c r="DK18">
        <v>3.0565272177948043E-2</v>
      </c>
      <c r="DL18">
        <v>4.9091414386908269E-2</v>
      </c>
      <c r="DM18">
        <v>4.1233846892386447E-2</v>
      </c>
      <c r="DN18">
        <v>5.8047183961791878E-2</v>
      </c>
      <c r="DO18">
        <v>5.1551703998314394E-2</v>
      </c>
      <c r="DP18">
        <v>1.2400900785688375E-2</v>
      </c>
      <c r="DQ18">
        <v>6.8050757260235559E-2</v>
      </c>
      <c r="DR18">
        <v>1.0991531262175905E-2</v>
      </c>
      <c r="DS18">
        <v>4.74378894457382E-2</v>
      </c>
      <c r="DT18">
        <v>4.2583835054195607E-2</v>
      </c>
      <c r="DU18">
        <v>2.8667003714726726E-2</v>
      </c>
      <c r="DV18">
        <v>7.6566356091190158E-3</v>
      </c>
      <c r="DW18">
        <v>2.2699762322487892E-2</v>
      </c>
      <c r="DX18">
        <v>2.5235739980664796E-2</v>
      </c>
      <c r="DY18">
        <v>3.69588660855487E-2</v>
      </c>
      <c r="DZ18">
        <v>1.688023154963373E-2</v>
      </c>
      <c r="EA18">
        <v>3.9499572823601489E-2</v>
      </c>
      <c r="EB18">
        <v>2.1648821160867512E-2</v>
      </c>
      <c r="EC18">
        <v>2.6661124061847261E-2</v>
      </c>
      <c r="ED18">
        <v>1.5435181591279074E-2</v>
      </c>
      <c r="EE18">
        <v>1.6518304112249294E-2</v>
      </c>
      <c r="EF18">
        <v>2.3549464590066346E-2</v>
      </c>
      <c r="EG18">
        <v>2.9294759908995868E-2</v>
      </c>
      <c r="EH18">
        <v>2.5157201854402574E-2</v>
      </c>
      <c r="EI18">
        <v>2.0527494665294733E-2</v>
      </c>
      <c r="EJ18">
        <v>8.5392548350615785E-3</v>
      </c>
      <c r="EK18">
        <v>4.8922373191151204E-2</v>
      </c>
      <c r="EL18">
        <v>1.5929626580293912E-2</v>
      </c>
      <c r="EM18">
        <v>1.5016059666700738E-2</v>
      </c>
      <c r="EN18">
        <v>5.4765343103206306E-2</v>
      </c>
      <c r="EO18">
        <v>2.9939455172164162E-2</v>
      </c>
      <c r="EP18">
        <v>2.0727841375383738E-2</v>
      </c>
      <c r="EQ18">
        <v>2.2435454137916075E-2</v>
      </c>
      <c r="ER18">
        <v>3.6109112424821163E-2</v>
      </c>
      <c r="ES18">
        <v>1.3657186090781905E-2</v>
      </c>
      <c r="ET18">
        <v>5.6917681851090522E-2</v>
      </c>
      <c r="EU18">
        <v>7.6215274384357932E-3</v>
      </c>
      <c r="EV18">
        <v>4.167307394771301E-2</v>
      </c>
      <c r="EW18">
        <v>2.2521677025328729E-2</v>
      </c>
      <c r="EX18">
        <v>1.7604646318947148E-2</v>
      </c>
      <c r="EY18">
        <v>4.2149371059239209E-2</v>
      </c>
      <c r="EZ18">
        <v>1.5395484997734361E-2</v>
      </c>
      <c r="FA18">
        <v>2.1773204010134564E-2</v>
      </c>
      <c r="FB18">
        <v>5.9149166381438051E-2</v>
      </c>
      <c r="FC18">
        <v>8.4624541310055867E-2</v>
      </c>
      <c r="FD18">
        <v>2.7688455744851098E-2</v>
      </c>
      <c r="FE18">
        <v>1.9125885007538194E-2</v>
      </c>
      <c r="FF18">
        <v>3.746304638234077E-2</v>
      </c>
      <c r="FG18">
        <v>1.0635950074211314E-2</v>
      </c>
      <c r="FH18">
        <v>2.0031130588149686E-2</v>
      </c>
      <c r="FI18">
        <v>1.2420646571813302E-2</v>
      </c>
      <c r="FJ18">
        <v>2.9751529313567565E-3</v>
      </c>
      <c r="FK18">
        <v>1.5375117021016071E-2</v>
      </c>
      <c r="FL18">
        <v>2.1555168568745106E-2</v>
      </c>
      <c r="FM18">
        <v>7.4165663497079606E-2</v>
      </c>
      <c r="FN18">
        <v>1.6963096994779877E-2</v>
      </c>
      <c r="FO18">
        <v>1.4500134386903936E-2</v>
      </c>
      <c r="FP18">
        <v>4.866688421840195E-2</v>
      </c>
      <c r="FQ18">
        <v>2.4007194758256314E-2</v>
      </c>
      <c r="FR18">
        <v>4.1933017571641439E-2</v>
      </c>
      <c r="FS18">
        <v>2.3105670201545112E-2</v>
      </c>
      <c r="FT18">
        <v>2.4073954444028132E-2</v>
      </c>
      <c r="FU18">
        <v>5.1924494969334087E-2</v>
      </c>
      <c r="FV18">
        <v>5.9423838752147962E-2</v>
      </c>
      <c r="FW18">
        <v>4.4010292625419348E-2</v>
      </c>
      <c r="FX18">
        <v>1.7247042763430507E-2</v>
      </c>
      <c r="FY18">
        <v>1.1631263174691531E-2</v>
      </c>
      <c r="FZ18">
        <v>4.4791307034577378E-2</v>
      </c>
      <c r="GA18">
        <v>3.828049516772189E-2</v>
      </c>
      <c r="GB18">
        <v>1.3808144205001488E-2</v>
      </c>
      <c r="GC18">
        <v>5.4321541919048026E-2</v>
      </c>
      <c r="GD18">
        <v>1.5603877027781658E-2</v>
      </c>
      <c r="GE18">
        <v>4.8818475001410226E-2</v>
      </c>
      <c r="GF18">
        <v>2.7051768579004088E-2</v>
      </c>
      <c r="GG18">
        <v>2.6676341533121584E-2</v>
      </c>
      <c r="GH18">
        <v>3.726305837232971E-2</v>
      </c>
      <c r="GI18">
        <v>1.9771430862855585E-2</v>
      </c>
      <c r="GJ18">
        <v>2.2584491957031019E-2</v>
      </c>
      <c r="GK18">
        <v>1.7756075795555982E-2</v>
      </c>
      <c r="GL18">
        <v>1.1985377724575336E-2</v>
      </c>
      <c r="GM18">
        <v>7.16182343548876E-3</v>
      </c>
      <c r="GN18">
        <v>2.0523676121401067E-2</v>
      </c>
      <c r="GO18">
        <v>1.6133440224946095E-2</v>
      </c>
      <c r="GP18">
        <v>3.5863213423654762E-2</v>
      </c>
      <c r="GQ18">
        <v>2.507461606143014E-2</v>
      </c>
      <c r="GR18">
        <v>1.4865828854027331E-2</v>
      </c>
      <c r="GS18">
        <v>1.4974786317709918E-2</v>
      </c>
      <c r="GT18">
        <v>1.4125119409846107E-2</v>
      </c>
      <c r="GU18">
        <v>1.1424382536167515E-2</v>
      </c>
      <c r="GV18">
        <v>1.7421976248537797E-2</v>
      </c>
      <c r="GW18">
        <v>1.7115791805119133E-2</v>
      </c>
      <c r="GX18">
        <v>0.1204284427818431</v>
      </c>
      <c r="GY18">
        <v>8.9566156327171281E-3</v>
      </c>
      <c r="GZ18">
        <v>6.7568953049364222E-3</v>
      </c>
      <c r="HA18">
        <v>6.4431689442961543E-2</v>
      </c>
      <c r="HB18">
        <v>1.072729422416124E-2</v>
      </c>
      <c r="HC18">
        <v>4.7101287326137248E-2</v>
      </c>
      <c r="HD18">
        <v>5.2676668661224196E-2</v>
      </c>
      <c r="HE18">
        <v>2.4229326166503515E-2</v>
      </c>
      <c r="HF18">
        <v>1.4572710052592967E-2</v>
      </c>
      <c r="HG18">
        <v>2.159532552077682E-2</v>
      </c>
      <c r="HH18">
        <v>7.0903296038254945E-2</v>
      </c>
      <c r="HI18">
        <v>2.0708612744451925E-2</v>
      </c>
      <c r="HJ18">
        <v>8.967623005233882E-3</v>
      </c>
      <c r="HK18">
        <v>3.9275638780917083E-2</v>
      </c>
      <c r="HL18">
        <v>1.2373494178268114E-2</v>
      </c>
      <c r="HM18">
        <v>1.3428385160162617E-2</v>
      </c>
      <c r="HN18">
        <v>2.4820663787553605E-2</v>
      </c>
      <c r="HO18">
        <v>2.0458091974298813E-2</v>
      </c>
      <c r="HP18">
        <v>2.5587436481850401E-2</v>
      </c>
      <c r="HQ18">
        <v>2.6032619830327255E-2</v>
      </c>
      <c r="HR18">
        <v>4.4491698295314332E-2</v>
      </c>
      <c r="HS18">
        <v>3.1050690471168176E-2</v>
      </c>
      <c r="HT18">
        <v>5.6342006265848787E-2</v>
      </c>
      <c r="HU18">
        <v>1.3821741319389166E-2</v>
      </c>
      <c r="HV18">
        <v>2.1413423125496642E-2</v>
      </c>
      <c r="HW18">
        <v>1.7251646676130376E-2</v>
      </c>
      <c r="HX18">
        <v>4.7132170581883868E-2</v>
      </c>
      <c r="HY18">
        <v>1.4476251677886213E-2</v>
      </c>
      <c r="HZ18">
        <v>1.1972380877670755E-2</v>
      </c>
      <c r="IA18">
        <v>8.3257701908836398E-2</v>
      </c>
      <c r="IB18">
        <v>3.0874350694331368E-2</v>
      </c>
      <c r="IC18">
        <v>1.8204725486807155E-2</v>
      </c>
      <c r="ID18">
        <v>4.6693336639243521E-2</v>
      </c>
      <c r="IE18">
        <v>3.9232278554545301E-2</v>
      </c>
      <c r="IF18">
        <v>1.9956281570986018E-2</v>
      </c>
      <c r="IG18">
        <v>3.2846307965752025E-2</v>
      </c>
      <c r="IH18">
        <v>1.4337122315283415E-2</v>
      </c>
      <c r="II18">
        <v>1.0490849971742492E-2</v>
      </c>
      <c r="IJ18">
        <v>2.7499118313657953E-2</v>
      </c>
      <c r="IK18">
        <v>1.5760838941182777E-2</v>
      </c>
      <c r="IL18">
        <v>0.11755344799755549</v>
      </c>
      <c r="IM18">
        <v>3.5282985692902315E-2</v>
      </c>
      <c r="IN18">
        <v>1.5666188409134418E-2</v>
      </c>
      <c r="IO18">
        <v>2.1278883452796351E-2</v>
      </c>
    </row>
    <row r="19" spans="5:249" x14ac:dyDescent="0.15">
      <c r="E19">
        <v>3.0451789347652417E-2</v>
      </c>
      <c r="F19">
        <v>4.6088376663475496E-4</v>
      </c>
      <c r="J19" s="17">
        <v>7.0400256708618922E-2</v>
      </c>
      <c r="K19" s="17">
        <v>2.0343983778915321E-2</v>
      </c>
      <c r="L19" s="17">
        <v>3.4182452908931453E-2</v>
      </c>
      <c r="M19" s="17">
        <v>4.6023502288006217E-2</v>
      </c>
      <c r="N19" s="17">
        <v>1.9439804800660709E-2</v>
      </c>
      <c r="O19" s="17">
        <v>3.7631108796940572E-2</v>
      </c>
      <c r="P19" s="17">
        <v>4.7560880164732859E-2</v>
      </c>
      <c r="Q19" s="17">
        <v>4.725108924959371E-2</v>
      </c>
      <c r="R19" s="17">
        <v>8.8825599927046649E-3</v>
      </c>
      <c r="S19" s="17">
        <v>3.1414500808042693E-2</v>
      </c>
      <c r="T19">
        <v>3.2454069217001058E-2</v>
      </c>
      <c r="U19">
        <v>1.2843242069171215E-2</v>
      </c>
      <c r="V19">
        <v>4.4730028857556121E-2</v>
      </c>
      <c r="W19">
        <v>1.4824378806606156E-2</v>
      </c>
      <c r="X19">
        <v>2.6936678229724398E-2</v>
      </c>
      <c r="Y19">
        <v>4.2926124107319004E-2</v>
      </c>
      <c r="Z19">
        <v>3.3406143150806963E-3</v>
      </c>
      <c r="AA19">
        <v>1.2531776315431745E-2</v>
      </c>
      <c r="AB19">
        <v>7.3697122816179128E-2</v>
      </c>
      <c r="AC19">
        <v>1.0504131716612724E-2</v>
      </c>
      <c r="AD19">
        <v>4.4263746895136701E-2</v>
      </c>
      <c r="AE19">
        <v>5.0879467244061082E-2</v>
      </c>
      <c r="AF19">
        <v>2.9735232573467999E-2</v>
      </c>
      <c r="AG19">
        <v>1.4170227573494624E-2</v>
      </c>
      <c r="AH19">
        <v>2.8068905144929879E-2</v>
      </c>
      <c r="AI19">
        <v>7.2225915706985888E-2</v>
      </c>
      <c r="AJ19">
        <v>4.7273745526384414E-2</v>
      </c>
      <c r="AK19">
        <v>7.3649908760947333E-2</v>
      </c>
      <c r="AL19">
        <v>1.8809312641959668E-2</v>
      </c>
      <c r="AM19">
        <v>1.3531479930327609E-2</v>
      </c>
      <c r="AN19">
        <v>3.4623759888684769E-2</v>
      </c>
      <c r="AO19">
        <v>2.2727552486104613E-2</v>
      </c>
      <c r="AP19">
        <v>1.0694181431666771E-2</v>
      </c>
      <c r="AQ19">
        <v>2.3669927161216867E-2</v>
      </c>
      <c r="AR19">
        <v>3.4839249995634147E-2</v>
      </c>
      <c r="AS19">
        <v>2.3853842905108134E-2</v>
      </c>
      <c r="AT19">
        <v>8.6137264433694023E-3</v>
      </c>
      <c r="AU19">
        <v>2.4763366871155476E-2</v>
      </c>
      <c r="AV19">
        <v>1.4028028966382462E-2</v>
      </c>
      <c r="AW19">
        <v>4.1091640252069461E-2</v>
      </c>
      <c r="AX19">
        <v>3.1954374396871439E-2</v>
      </c>
      <c r="AY19">
        <v>3.761788778763317E-2</v>
      </c>
      <c r="AZ19">
        <v>2.6090809965263133E-2</v>
      </c>
      <c r="BA19">
        <v>9.8219349621189167E-3</v>
      </c>
      <c r="BB19">
        <v>1.7310183123906548E-2</v>
      </c>
      <c r="BC19">
        <v>1.7775486684141004E-2</v>
      </c>
      <c r="BD19">
        <v>2.7556018172809015E-2</v>
      </c>
      <c r="BE19">
        <v>5.6930638934395934E-2</v>
      </c>
      <c r="BF19">
        <v>3.5343626529580473E-2</v>
      </c>
      <c r="BG19">
        <v>0.14080981939291107</v>
      </c>
      <c r="BH19">
        <v>2.1045942655540224E-2</v>
      </c>
      <c r="BI19">
        <v>4.2331500598967405E-2</v>
      </c>
      <c r="BJ19">
        <v>6.8419072245833337E-2</v>
      </c>
      <c r="BK19">
        <v>1.0124011387383256E-2</v>
      </c>
      <c r="BL19">
        <v>3.2065856075002855E-2</v>
      </c>
      <c r="BM19">
        <v>2.8496232798723469E-2</v>
      </c>
      <c r="BN19">
        <v>4.3494961728930866E-2</v>
      </c>
      <c r="BO19">
        <v>4.0245125705711697E-2</v>
      </c>
      <c r="BP19">
        <v>4.1756921404216031E-2</v>
      </c>
      <c r="BQ19">
        <v>5.1031399574550391E-2</v>
      </c>
      <c r="BR19">
        <v>4.1201159803982722E-2</v>
      </c>
      <c r="BS19">
        <v>9.511595371073274E-3</v>
      </c>
      <c r="BT19">
        <v>2.3134655366126067E-2</v>
      </c>
      <c r="BU19">
        <v>8.4463466159927728E-3</v>
      </c>
      <c r="BV19">
        <v>2.8329882205609752E-2</v>
      </c>
      <c r="BW19">
        <v>1.3683344469218055E-2</v>
      </c>
      <c r="BX19">
        <v>1.4618693274800622E-2</v>
      </c>
      <c r="BY19">
        <v>8.2165346746365817E-2</v>
      </c>
      <c r="BZ19">
        <v>0.14532158788530633</v>
      </c>
      <c r="CA19">
        <v>5.0857237852006965E-2</v>
      </c>
      <c r="CB19">
        <v>1.8699257824641817E-2</v>
      </c>
      <c r="CC19">
        <v>2.7757939381314507E-2</v>
      </c>
      <c r="CD19">
        <v>2.5320663711540528E-2</v>
      </c>
      <c r="CE19">
        <v>2.8457057632988083E-2</v>
      </c>
      <c r="CF19">
        <v>3.483465322068164E-2</v>
      </c>
      <c r="CG19">
        <v>3.2485148183629096E-2</v>
      </c>
      <c r="CH19">
        <v>2.0077263535308972E-2</v>
      </c>
      <c r="CI19">
        <v>3.8940674815510688E-2</v>
      </c>
      <c r="CJ19">
        <v>2.6631157125890419E-2</v>
      </c>
      <c r="CK19">
        <v>1.8191105924509461E-2</v>
      </c>
      <c r="CL19">
        <v>3.2164121419426601E-2</v>
      </c>
      <c r="CM19">
        <v>1.3517934306016598E-2</v>
      </c>
      <c r="CN19">
        <v>2.1945820231186363E-2</v>
      </c>
      <c r="CO19">
        <v>3.5084750360753647E-2</v>
      </c>
      <c r="CP19">
        <v>4.8443654280085797E-2</v>
      </c>
      <c r="CQ19">
        <v>2.1853887035638991E-2</v>
      </c>
      <c r="CR19">
        <v>1.3881888741759984E-2</v>
      </c>
      <c r="CS19">
        <v>1.9230756664131786E-2</v>
      </c>
      <c r="CT19">
        <v>2.5570865600981013E-2</v>
      </c>
      <c r="CU19">
        <v>6.6389547585373743E-2</v>
      </c>
      <c r="CV19">
        <v>3.3334625566298404E-2</v>
      </c>
      <c r="CW19">
        <v>1.0391779963433521E-2</v>
      </c>
      <c r="CX19">
        <v>4.4413365220233231E-2</v>
      </c>
      <c r="CY19">
        <v>2.3620266298283624E-2</v>
      </c>
      <c r="CZ19">
        <v>3.3997654088247328E-2</v>
      </c>
      <c r="DA19">
        <v>3.9568431611748708E-2</v>
      </c>
      <c r="DB19">
        <v>1.7457368708861463E-2</v>
      </c>
      <c r="DC19">
        <v>1.2199203031490444E-2</v>
      </c>
      <c r="DD19">
        <v>5.4340071233326933E-3</v>
      </c>
      <c r="DE19">
        <v>1.8990613942842863E-2</v>
      </c>
      <c r="DF19">
        <v>3.2106636664856851E-2</v>
      </c>
      <c r="DG19">
        <v>3.0394719705158991E-2</v>
      </c>
      <c r="DH19">
        <v>4.0662839386660141E-2</v>
      </c>
      <c r="DI19">
        <v>2.1191091952452262E-2</v>
      </c>
      <c r="DJ19">
        <v>1.9910415184797272E-2</v>
      </c>
      <c r="DK19">
        <v>2.5972885148440435E-2</v>
      </c>
      <c r="DL19">
        <v>4.3574011817279532E-2</v>
      </c>
      <c r="DM19">
        <v>2.9702111277433271E-2</v>
      </c>
      <c r="DN19">
        <v>5.5832040616278528E-2</v>
      </c>
      <c r="DO19">
        <v>5.8043791122050457E-2</v>
      </c>
      <c r="DP19">
        <v>1.1855864350701933E-2</v>
      </c>
      <c r="DQ19">
        <v>7.0168509989713149E-2</v>
      </c>
      <c r="DR19">
        <v>7.807383048267301E-3</v>
      </c>
      <c r="DS19">
        <v>5.1061363873345714E-2</v>
      </c>
      <c r="DT19">
        <v>4.0392447063097671E-2</v>
      </c>
      <c r="DU19">
        <v>2.5002405545363489E-2</v>
      </c>
      <c r="DV19">
        <v>5.7779256255368408E-3</v>
      </c>
      <c r="DW19">
        <v>3.3381435038654816E-2</v>
      </c>
      <c r="DX19">
        <v>2.1587230146658039E-2</v>
      </c>
      <c r="DY19">
        <v>4.1075863228407131E-2</v>
      </c>
      <c r="DZ19">
        <v>1.3342760461804248E-2</v>
      </c>
      <c r="EA19">
        <v>4.0651467883864714E-2</v>
      </c>
      <c r="EB19">
        <v>1.8903903139204141E-2</v>
      </c>
      <c r="EC19">
        <v>2.2419645512544949E-2</v>
      </c>
      <c r="ED19">
        <v>1.4698734216181982E-2</v>
      </c>
      <c r="EE19">
        <v>1.3018085264234451E-2</v>
      </c>
      <c r="EF19">
        <v>1.5949969644612341E-2</v>
      </c>
      <c r="EG19">
        <v>1.8630033625875359E-2</v>
      </c>
      <c r="EH19">
        <v>3.0291069452346268E-2</v>
      </c>
      <c r="EI19">
        <v>2.5412774472870527E-2</v>
      </c>
      <c r="EJ19">
        <v>6.5967835027804919E-3</v>
      </c>
      <c r="EK19">
        <v>4.8459775519575012E-2</v>
      </c>
      <c r="EL19">
        <v>1.4619692691361767E-2</v>
      </c>
      <c r="EM19">
        <v>1.5933582794724795E-2</v>
      </c>
      <c r="EN19">
        <v>4.8321166346423486E-2</v>
      </c>
      <c r="EO19">
        <v>3.1939520666281716E-2</v>
      </c>
      <c r="EP19">
        <v>2.4199708567401095E-2</v>
      </c>
      <c r="EQ19">
        <v>2.7415472905242749E-2</v>
      </c>
      <c r="ER19">
        <v>4.4452354877223703E-2</v>
      </c>
      <c r="ES19">
        <v>1.3047926377542518E-2</v>
      </c>
      <c r="ET19">
        <v>8.5605621964499765E-2</v>
      </c>
      <c r="EU19">
        <v>8.2873802446444319E-3</v>
      </c>
      <c r="EV19">
        <v>3.3675658351189151E-2</v>
      </c>
      <c r="EW19">
        <v>1.6292640894742354E-2</v>
      </c>
      <c r="EX19">
        <v>1.1185659833635047E-2</v>
      </c>
      <c r="EY19">
        <v>5.0236128382849625E-2</v>
      </c>
      <c r="EZ19">
        <v>1.4287649273227048E-2</v>
      </c>
      <c r="FA19">
        <v>1.350912408556235E-2</v>
      </c>
      <c r="FB19">
        <v>6.3330092352186104E-2</v>
      </c>
      <c r="FC19">
        <v>7.6780373522075576E-2</v>
      </c>
      <c r="FD19">
        <v>4.062481681215737E-2</v>
      </c>
      <c r="FE19">
        <v>2.1926589254805402E-2</v>
      </c>
      <c r="FF19">
        <v>3.8467025765086101E-2</v>
      </c>
      <c r="FG19">
        <v>1.5419980783970015E-2</v>
      </c>
      <c r="FH19">
        <v>1.8005421939302334E-2</v>
      </c>
      <c r="FI19">
        <v>1.2635126710849241E-2</v>
      </c>
      <c r="FJ19">
        <v>3.0689686477882315E-3</v>
      </c>
      <c r="FK19">
        <v>1.9031405291134843E-2</v>
      </c>
      <c r="FL19">
        <v>2.2365487654673298E-2</v>
      </c>
      <c r="FM19">
        <v>6.8175973005391785E-2</v>
      </c>
      <c r="FN19">
        <v>2.078950765064479E-2</v>
      </c>
      <c r="FO19">
        <v>1.2820802143410779E-2</v>
      </c>
      <c r="FP19">
        <v>3.6117589061579143E-2</v>
      </c>
      <c r="FQ19">
        <v>1.8207482627098388E-2</v>
      </c>
      <c r="FR19">
        <v>3.3610284923408409E-2</v>
      </c>
      <c r="FS19">
        <v>3.0462169468930163E-2</v>
      </c>
      <c r="FT19">
        <v>2.1426831172500091E-2</v>
      </c>
      <c r="FU19">
        <v>4.4088695258008737E-2</v>
      </c>
      <c r="FV19">
        <v>6.0307201468547601E-2</v>
      </c>
      <c r="FW19">
        <v>5.1716014961720506E-2</v>
      </c>
      <c r="FX19">
        <v>1.5975386461759174E-2</v>
      </c>
      <c r="FY19">
        <v>1.1481899104405948E-2</v>
      </c>
      <c r="FZ19">
        <v>5.1292284524624844E-2</v>
      </c>
      <c r="GA19">
        <v>3.810084391738143E-2</v>
      </c>
      <c r="GB19">
        <v>1.0776685314360051E-2</v>
      </c>
      <c r="GC19">
        <v>5.4020762288456731E-2</v>
      </c>
      <c r="GD19">
        <v>1.5552222684676806E-2</v>
      </c>
      <c r="GE19">
        <v>5.209843077697647E-2</v>
      </c>
      <c r="GF19">
        <v>3.6433929423185345E-2</v>
      </c>
      <c r="GG19">
        <v>2.8948348928563048E-2</v>
      </c>
      <c r="GH19">
        <v>3.513249007038334E-2</v>
      </c>
      <c r="GI19">
        <v>2.013803870771301E-2</v>
      </c>
      <c r="GJ19">
        <v>2.9534650780860511E-2</v>
      </c>
      <c r="GK19">
        <v>1.7532132279926036E-2</v>
      </c>
      <c r="GL19">
        <v>1.2119489215622545E-2</v>
      </c>
      <c r="GM19">
        <v>7.6835267384282582E-3</v>
      </c>
      <c r="GN19">
        <v>2.3450731400495604E-2</v>
      </c>
      <c r="GO19">
        <v>8.7611654708638423E-3</v>
      </c>
      <c r="GP19">
        <v>2.9302572636845884E-2</v>
      </c>
      <c r="GQ19">
        <v>2.298614137293602E-2</v>
      </c>
      <c r="GR19">
        <v>1.7633240943562598E-2</v>
      </c>
      <c r="GS19">
        <v>1.7223126783865575E-2</v>
      </c>
      <c r="GT19">
        <v>7.9908924988464931E-3</v>
      </c>
      <c r="GU19">
        <v>1.1260625425342796E-2</v>
      </c>
      <c r="GV19">
        <v>1.3614757812946082E-2</v>
      </c>
      <c r="GW19">
        <v>1.5389121606665123E-2</v>
      </c>
      <c r="GX19">
        <v>0.10644521054918034</v>
      </c>
      <c r="GY19">
        <v>8.4823764592035986E-3</v>
      </c>
      <c r="GZ19">
        <v>5.8688383844154252E-3</v>
      </c>
      <c r="HA19">
        <v>6.6523140596738264E-2</v>
      </c>
      <c r="HB19">
        <v>1.6956592338935355E-2</v>
      </c>
      <c r="HC19">
        <v>3.1836074805985118E-2</v>
      </c>
      <c r="HD19">
        <v>5.5713402718861722E-2</v>
      </c>
      <c r="HE19">
        <v>3.0122893362889494E-2</v>
      </c>
      <c r="HF19">
        <v>1.0120739402528981E-2</v>
      </c>
      <c r="HG19">
        <v>2.271298422271896E-2</v>
      </c>
      <c r="HH19">
        <v>7.8865931650163534E-2</v>
      </c>
      <c r="HI19">
        <v>2.0112808473440033E-2</v>
      </c>
      <c r="HJ19">
        <v>7.4165381322931359E-3</v>
      </c>
      <c r="HK19">
        <v>1.8244995244825622E-2</v>
      </c>
      <c r="HL19">
        <v>1.0065298835327773E-2</v>
      </c>
      <c r="HM19">
        <v>1.5621109212845307E-2</v>
      </c>
      <c r="HN19">
        <v>1.9343948588062761E-2</v>
      </c>
      <c r="HO19">
        <v>2.05241251730926E-2</v>
      </c>
      <c r="HP19">
        <v>3.5801758103935967E-2</v>
      </c>
      <c r="HQ19">
        <v>1.9917374956256936E-2</v>
      </c>
      <c r="HR19">
        <v>6.1603492898243219E-2</v>
      </c>
      <c r="HS19">
        <v>2.7642297248256571E-2</v>
      </c>
      <c r="HT19">
        <v>2.1207002028248313E-2</v>
      </c>
      <c r="HU19">
        <v>1.6000805209602148E-2</v>
      </c>
      <c r="HV19">
        <v>2.2282860624481024E-2</v>
      </c>
      <c r="HW19">
        <v>1.1661420189715192E-2</v>
      </c>
      <c r="HX19">
        <v>3.3542896563496509E-2</v>
      </c>
      <c r="HY19">
        <v>1.7784699478960383E-2</v>
      </c>
      <c r="HZ19">
        <v>1.2201226599613969E-2</v>
      </c>
      <c r="IA19">
        <v>6.6222039137889044E-2</v>
      </c>
      <c r="IB19">
        <v>2.3116762351554441E-2</v>
      </c>
      <c r="IC19">
        <v>1.0947444495240865E-2</v>
      </c>
      <c r="ID19">
        <v>6.0832477681973855E-2</v>
      </c>
      <c r="IE19">
        <v>4.008317970627634E-2</v>
      </c>
      <c r="IF19">
        <v>1.731424251929832E-2</v>
      </c>
      <c r="IG19">
        <v>3.1300146710890007E-2</v>
      </c>
      <c r="IH19">
        <v>1.0541648169362056E-2</v>
      </c>
      <c r="II19">
        <v>1.1124410016515682E-2</v>
      </c>
      <c r="IJ19">
        <v>2.6540272000946497E-2</v>
      </c>
      <c r="IK19">
        <v>1.5481072600070759E-2</v>
      </c>
      <c r="IL19">
        <v>0.11416810532519209</v>
      </c>
      <c r="IM19">
        <v>3.7153427420029035E-2</v>
      </c>
      <c r="IN19">
        <v>1.0844875033281461E-2</v>
      </c>
      <c r="IO19">
        <v>1.1631257635144998E-2</v>
      </c>
    </row>
    <row r="20" spans="5:249" x14ac:dyDescent="0.15">
      <c r="E20">
        <v>2.9490861911584003E-2</v>
      </c>
      <c r="F20">
        <v>4.1388366352354354E-4</v>
      </c>
      <c r="J20" s="17">
        <v>5.2986225509561433E-2</v>
      </c>
      <c r="K20" s="17">
        <v>2.3231045026923226E-2</v>
      </c>
      <c r="L20" s="17">
        <v>3.8567243170833751E-2</v>
      </c>
      <c r="M20" s="17">
        <v>7.5856500177722275E-2</v>
      </c>
      <c r="N20" s="17">
        <v>1.9826020858516195E-2</v>
      </c>
      <c r="O20" s="17">
        <v>3.0204781444760007E-2</v>
      </c>
      <c r="P20" s="17">
        <v>4.6467499513680323E-2</v>
      </c>
      <c r="Q20" s="17">
        <v>3.3898637121144104E-2</v>
      </c>
      <c r="R20" s="17">
        <v>1.009913754777066E-2</v>
      </c>
      <c r="S20" s="17">
        <v>3.116802110895674E-2</v>
      </c>
      <c r="T20">
        <v>3.6186339938007669E-2</v>
      </c>
      <c r="U20">
        <v>1.2102315947553618E-2</v>
      </c>
      <c r="V20">
        <v>4.4667460449042323E-2</v>
      </c>
      <c r="W20">
        <v>1.5530130101356206E-2</v>
      </c>
      <c r="X20">
        <v>1.9871379712871541E-2</v>
      </c>
      <c r="Y20">
        <v>3.1827692187077095E-2</v>
      </c>
      <c r="Z20">
        <v>2.9165353111559765E-3</v>
      </c>
      <c r="AA20">
        <v>1.2193440657742527E-2</v>
      </c>
      <c r="AB20">
        <v>6.405690819615445E-2</v>
      </c>
      <c r="AC20">
        <v>1.0636205537100084E-2</v>
      </c>
      <c r="AD20">
        <v>3.2983959656265806E-2</v>
      </c>
      <c r="AE20">
        <v>4.7904772053174921E-2</v>
      </c>
      <c r="AF20">
        <v>3.3599625591962237E-2</v>
      </c>
      <c r="AG20">
        <v>1.4060402455841581E-2</v>
      </c>
      <c r="AH20">
        <v>3.2945093847540338E-2</v>
      </c>
      <c r="AI20">
        <v>6.0272725353850386E-2</v>
      </c>
      <c r="AJ20">
        <v>4.437144744810835E-2</v>
      </c>
      <c r="AK20">
        <v>6.9554921427836675E-2</v>
      </c>
      <c r="AL20">
        <v>1.64246414367379E-2</v>
      </c>
      <c r="AM20">
        <v>1.2575081514571377E-2</v>
      </c>
      <c r="AN20">
        <v>3.2463255614611899E-2</v>
      </c>
      <c r="AO20">
        <v>2.1834181119003052E-2</v>
      </c>
      <c r="AP20">
        <v>6.6629912467939941E-3</v>
      </c>
      <c r="AQ20">
        <v>3.2327431063559134E-2</v>
      </c>
      <c r="AR20">
        <v>5.2446691654784078E-2</v>
      </c>
      <c r="AS20">
        <v>3.6179107408282389E-2</v>
      </c>
      <c r="AT20">
        <v>9.6504444937257922E-3</v>
      </c>
      <c r="AU20">
        <v>1.5771483636354808E-2</v>
      </c>
      <c r="AV20">
        <v>1.9088365820538241E-2</v>
      </c>
      <c r="AW20">
        <v>4.3514566440233743E-2</v>
      </c>
      <c r="AX20">
        <v>2.8390446832939266E-2</v>
      </c>
      <c r="AY20">
        <v>3.0608156240777208E-2</v>
      </c>
      <c r="AZ20">
        <v>2.3941879890973967E-2</v>
      </c>
      <c r="BA20">
        <v>8.4557605467888378E-3</v>
      </c>
      <c r="BB20">
        <v>1.6459803731242961E-2</v>
      </c>
      <c r="BC20">
        <v>2.1782882084324898E-2</v>
      </c>
      <c r="BD20">
        <v>2.0160651864716651E-2</v>
      </c>
      <c r="BE20">
        <v>5.0313421366966968E-2</v>
      </c>
      <c r="BF20">
        <v>3.4869990404162721E-2</v>
      </c>
      <c r="BG20">
        <v>0.11562955022510311</v>
      </c>
      <c r="BH20">
        <v>1.5830411995865139E-2</v>
      </c>
      <c r="BI20">
        <v>2.4034399016037388E-2</v>
      </c>
      <c r="BJ20">
        <v>6.4468938645761503E-2</v>
      </c>
      <c r="BK20">
        <v>1.3236612069375358E-2</v>
      </c>
      <c r="BL20">
        <v>2.3336165687427718E-2</v>
      </c>
      <c r="BM20">
        <v>2.7760809844156242E-2</v>
      </c>
      <c r="BN20">
        <v>4.5543886817773126E-2</v>
      </c>
      <c r="BO20">
        <v>4.0270038374674647E-2</v>
      </c>
      <c r="BP20">
        <v>2.5756202465025867E-2</v>
      </c>
      <c r="BQ20">
        <v>5.7214535477196342E-2</v>
      </c>
      <c r="BR20">
        <v>4.0510554057185365E-2</v>
      </c>
      <c r="BS20">
        <v>7.9989219841675261E-3</v>
      </c>
      <c r="BT20">
        <v>2.9904906851580711E-2</v>
      </c>
      <c r="BU20">
        <v>4.5588236683472977E-3</v>
      </c>
      <c r="BV20">
        <v>3.2187281398251069E-2</v>
      </c>
      <c r="BW20">
        <v>1.7315175380915683E-2</v>
      </c>
      <c r="BX20">
        <v>1.6211743175791143E-2</v>
      </c>
      <c r="BY20">
        <v>7.7990964058344533E-2</v>
      </c>
      <c r="BZ20">
        <v>0.14932584103416582</v>
      </c>
      <c r="CA20">
        <v>6.5019702428549722E-2</v>
      </c>
      <c r="CB20">
        <v>1.7466606430402144E-2</v>
      </c>
      <c r="CC20">
        <v>3.6444657957855224E-2</v>
      </c>
      <c r="CD20">
        <v>2.0043487260437514E-2</v>
      </c>
      <c r="CE20">
        <v>2.420890752191529E-2</v>
      </c>
      <c r="CF20">
        <v>4.6339395475468281E-2</v>
      </c>
      <c r="CG20">
        <v>3.9941586393669792E-2</v>
      </c>
      <c r="CH20">
        <v>2.0168734799034888E-2</v>
      </c>
      <c r="CI20">
        <v>2.9496005842130461E-2</v>
      </c>
      <c r="CJ20">
        <v>3.3676270060918147E-2</v>
      </c>
      <c r="CK20">
        <v>1.5878366806651684E-2</v>
      </c>
      <c r="CL20">
        <v>2.9051192677019333E-2</v>
      </c>
      <c r="CM20">
        <v>1.100742760271586E-2</v>
      </c>
      <c r="CN20">
        <v>1.7483688254547158E-2</v>
      </c>
      <c r="CO20">
        <v>4.0043181758657551E-2</v>
      </c>
      <c r="CP20">
        <v>4.4232883845133561E-2</v>
      </c>
      <c r="CQ20">
        <v>1.6888955772762403E-2</v>
      </c>
      <c r="CR20">
        <v>1.4978642752342054E-2</v>
      </c>
      <c r="CS20">
        <v>1.9263062810414431E-2</v>
      </c>
      <c r="CT20">
        <v>2.9031693681547038E-2</v>
      </c>
      <c r="CU20">
        <v>4.9848803425532648E-2</v>
      </c>
      <c r="CV20">
        <v>4.540714240317089E-2</v>
      </c>
      <c r="CW20">
        <v>6.6203093983588021E-3</v>
      </c>
      <c r="CX20">
        <v>4.3392485574755058E-2</v>
      </c>
      <c r="CY20">
        <v>3.4795841040943062E-2</v>
      </c>
      <c r="CZ20">
        <v>3.8737789343022029E-2</v>
      </c>
      <c r="DA20">
        <v>4.459586644574233E-2</v>
      </c>
      <c r="DB20">
        <v>1.0276648373332475E-2</v>
      </c>
      <c r="DC20">
        <v>1.3445367197150469E-2</v>
      </c>
      <c r="DD20">
        <v>4.5390471032911994E-3</v>
      </c>
      <c r="DE20">
        <v>2.2205239152524384E-2</v>
      </c>
      <c r="DF20">
        <v>3.2588552199322406E-2</v>
      </c>
      <c r="DG20">
        <v>1.6388295124634186E-2</v>
      </c>
      <c r="DH20">
        <v>4.344177318134209E-2</v>
      </c>
      <c r="DI20">
        <v>1.5526439133812145E-2</v>
      </c>
      <c r="DJ20">
        <v>2.6042136544996809E-2</v>
      </c>
      <c r="DK20">
        <v>2.1216381292304781E-2</v>
      </c>
      <c r="DL20">
        <v>4.5780459738898639E-2</v>
      </c>
      <c r="DM20">
        <v>3.0883633777431491E-2</v>
      </c>
      <c r="DN20">
        <v>8.530791780735858E-2</v>
      </c>
      <c r="DO20">
        <v>7.0918262108256303E-2</v>
      </c>
      <c r="DP20">
        <v>1.0866093537615126E-2</v>
      </c>
      <c r="DQ20">
        <v>6.2794009076108312E-2</v>
      </c>
      <c r="DR20">
        <v>3.3425407596085685E-3</v>
      </c>
      <c r="DS20">
        <v>5.8010030036649722E-2</v>
      </c>
      <c r="DT20">
        <v>3.5546099038738357E-2</v>
      </c>
      <c r="DU20">
        <v>2.9294195237852552E-2</v>
      </c>
      <c r="DV20">
        <v>4.8094315650128493E-3</v>
      </c>
      <c r="DW20">
        <v>3.6800823694461596E-2</v>
      </c>
      <c r="DX20">
        <v>1.2637865934543439E-2</v>
      </c>
      <c r="DY20">
        <v>5.4499123950443339E-2</v>
      </c>
      <c r="DZ20">
        <v>1.5479475273081423E-2</v>
      </c>
      <c r="EA20">
        <v>3.1830086644725933E-2</v>
      </c>
      <c r="EB20">
        <v>1.6130460329440724E-2</v>
      </c>
      <c r="EC20">
        <v>2.6264936376423621E-2</v>
      </c>
      <c r="ED20">
        <v>1.6189255464675728E-2</v>
      </c>
      <c r="EE20">
        <v>1.056251175683362E-2</v>
      </c>
      <c r="EF20">
        <v>1.5663296506398642E-2</v>
      </c>
      <c r="EG20">
        <v>1.6085993035204617E-2</v>
      </c>
      <c r="EH20">
        <v>3.2048835842591605E-2</v>
      </c>
      <c r="EI20">
        <v>2.4768869400755615E-2</v>
      </c>
      <c r="EJ20">
        <v>5.1892115315971907E-3</v>
      </c>
      <c r="EK20">
        <v>5.8605257322957932E-2</v>
      </c>
      <c r="EL20">
        <v>1.2276356094434726E-2</v>
      </c>
      <c r="EM20">
        <v>1.5588422507667348E-2</v>
      </c>
      <c r="EN20">
        <v>3.5078136158529907E-2</v>
      </c>
      <c r="EO20">
        <v>2.6484337216241396E-2</v>
      </c>
      <c r="EP20">
        <v>1.537636125993325E-2</v>
      </c>
      <c r="EQ20">
        <v>2.5217636543528373E-2</v>
      </c>
      <c r="ER20">
        <v>5.474905396830531E-2</v>
      </c>
      <c r="ES20">
        <v>1.2689323284554703E-2</v>
      </c>
      <c r="ET20">
        <v>6.9361038556151999E-2</v>
      </c>
      <c r="EU20">
        <v>8.8012730493230509E-3</v>
      </c>
      <c r="EV20">
        <v>3.4720607284178633E-2</v>
      </c>
      <c r="EW20">
        <v>1.9074303520792219E-2</v>
      </c>
      <c r="EX20">
        <v>7.792217833871181E-3</v>
      </c>
      <c r="EY20">
        <v>3.9945806155606188E-2</v>
      </c>
      <c r="EZ20">
        <v>1.3612556829244563E-2</v>
      </c>
      <c r="FA20">
        <v>1.4542284517629785E-2</v>
      </c>
      <c r="FB20">
        <v>6.3622678562554755E-2</v>
      </c>
      <c r="FC20">
        <v>5.2805361249294781E-2</v>
      </c>
      <c r="FD20">
        <v>3.7367634989784272E-2</v>
      </c>
      <c r="FE20">
        <v>1.3306696513842807E-2</v>
      </c>
      <c r="FF20">
        <v>4.5086650558165658E-2</v>
      </c>
      <c r="FG20">
        <v>1.4596378921181968E-2</v>
      </c>
      <c r="FH20">
        <v>2.1855257160369984E-2</v>
      </c>
      <c r="FI20">
        <v>1.3712021912287986E-2</v>
      </c>
      <c r="FJ20">
        <v>1.8553104719599659E-3</v>
      </c>
      <c r="FK20">
        <v>1.5998904776404095E-2</v>
      </c>
      <c r="FL20">
        <v>2.0757172128846462E-2</v>
      </c>
      <c r="FM20">
        <v>6.0703159313231961E-2</v>
      </c>
      <c r="FN20">
        <v>2.9734020434914854E-2</v>
      </c>
      <c r="FO20">
        <v>1.2488584506714482E-2</v>
      </c>
      <c r="FP20">
        <v>2.5742045724633313E-2</v>
      </c>
      <c r="FQ20">
        <v>1.2184174699934549E-2</v>
      </c>
      <c r="FR20">
        <v>4.2958502055502897E-2</v>
      </c>
      <c r="FS20">
        <v>3.5269952747680584E-2</v>
      </c>
      <c r="FT20">
        <v>2.121919169535175E-2</v>
      </c>
      <c r="FU20">
        <v>4.5333849115811412E-2</v>
      </c>
      <c r="FV20">
        <v>5.3788623197140541E-2</v>
      </c>
      <c r="FW20">
        <v>6.7946797656724012E-2</v>
      </c>
      <c r="FX20">
        <v>1.601269198257502E-2</v>
      </c>
      <c r="FY20">
        <v>1.0456592785812751E-2</v>
      </c>
      <c r="FZ20">
        <v>3.9563234852149826E-2</v>
      </c>
      <c r="GA20">
        <v>2.8956199877736424E-2</v>
      </c>
      <c r="GB20">
        <v>8.725902849555052E-3</v>
      </c>
      <c r="GC20">
        <v>6.2237140992601268E-2</v>
      </c>
      <c r="GD20">
        <v>8.7339531273910552E-3</v>
      </c>
      <c r="GE20">
        <v>4.1491445121989004E-2</v>
      </c>
      <c r="GF20">
        <v>4.6810031172934474E-2</v>
      </c>
      <c r="GG20">
        <v>3.1529571890765364E-2</v>
      </c>
      <c r="GH20">
        <v>2.7304166833002581E-2</v>
      </c>
      <c r="GI20">
        <v>1.9889983107090805E-2</v>
      </c>
      <c r="GJ20">
        <v>2.8083045280521045E-2</v>
      </c>
      <c r="GK20">
        <v>1.3676565572652441E-2</v>
      </c>
      <c r="GL20">
        <v>1.1486133692010347E-2</v>
      </c>
      <c r="GM20">
        <v>9.6661310393907299E-3</v>
      </c>
      <c r="GN20">
        <v>1.0859900302046463E-2</v>
      </c>
      <c r="GO20">
        <v>7.9017816857258616E-3</v>
      </c>
      <c r="GP20">
        <v>2.3635615652776065E-2</v>
      </c>
      <c r="GQ20">
        <v>2.259290597913282E-2</v>
      </c>
      <c r="GR20">
        <v>2.1461594842955845E-2</v>
      </c>
      <c r="GS20">
        <v>1.712732954268029E-2</v>
      </c>
      <c r="GT20">
        <v>5.3879333523341039E-3</v>
      </c>
      <c r="GU20">
        <v>1.4806255447384028E-2</v>
      </c>
      <c r="GV20">
        <v>1.7426647170809481E-2</v>
      </c>
      <c r="GW20">
        <v>1.504767064907437E-2</v>
      </c>
      <c r="GX20">
        <v>7.7831906461948944E-2</v>
      </c>
      <c r="GY20">
        <v>6.428628595257101E-3</v>
      </c>
      <c r="GZ20">
        <v>4.3695920528658699E-3</v>
      </c>
      <c r="HA20">
        <v>4.8165122316361206E-2</v>
      </c>
      <c r="HB20">
        <v>1.7796233724645744E-2</v>
      </c>
      <c r="HC20">
        <v>3.9466900098595756E-2</v>
      </c>
      <c r="HD20">
        <v>4.8204814117889322E-2</v>
      </c>
      <c r="HE20">
        <v>3.7185197750906937E-2</v>
      </c>
      <c r="HF20">
        <v>1.0644663342067186E-2</v>
      </c>
      <c r="HG20">
        <v>2.051126653691691E-2</v>
      </c>
      <c r="HH20">
        <v>7.7471296944884332E-2</v>
      </c>
      <c r="HI20">
        <v>2.06643922293058E-2</v>
      </c>
      <c r="HJ20">
        <v>8.1074144177242548E-3</v>
      </c>
      <c r="HK20">
        <v>2.3494352880485393E-2</v>
      </c>
      <c r="HL20">
        <v>9.1002235267557442E-3</v>
      </c>
      <c r="HM20">
        <v>1.7479849330316731E-2</v>
      </c>
      <c r="HN20">
        <v>2.6870390830709457E-2</v>
      </c>
      <c r="HO20">
        <v>2.9966930001942824E-2</v>
      </c>
      <c r="HP20">
        <v>4.8493024705413411E-2</v>
      </c>
      <c r="HQ20">
        <v>1.6110949030379886E-2</v>
      </c>
      <c r="HR20">
        <v>4.8250107278916828E-2</v>
      </c>
      <c r="HS20">
        <v>2.5561146858301922E-2</v>
      </c>
      <c r="HT20">
        <v>2.3072388783553242E-2</v>
      </c>
      <c r="HU20">
        <v>2.3276909284602926E-2</v>
      </c>
      <c r="HV20">
        <v>2.2865477696002761E-2</v>
      </c>
      <c r="HW20">
        <v>8.2086790078693649E-3</v>
      </c>
      <c r="HX20">
        <v>2.7106387643928424E-2</v>
      </c>
      <c r="HY20">
        <v>1.6077197258013567E-2</v>
      </c>
      <c r="HZ20">
        <v>8.4291291864313379E-3</v>
      </c>
      <c r="IA20">
        <v>7.036813497724885E-2</v>
      </c>
      <c r="IB20">
        <v>2.2530772714586714E-2</v>
      </c>
      <c r="IC20">
        <v>9.0423513362121836E-3</v>
      </c>
      <c r="ID20">
        <v>6.0610274105944183E-2</v>
      </c>
      <c r="IE20">
        <v>4.2430092145432911E-2</v>
      </c>
      <c r="IF20">
        <v>1.7575082194462202E-2</v>
      </c>
      <c r="IG20">
        <v>3.2887414743751266E-2</v>
      </c>
      <c r="IH20">
        <v>8.1231462471203358E-3</v>
      </c>
      <c r="II20">
        <v>1.1596492325045921E-2</v>
      </c>
      <c r="IJ20">
        <v>2.5598764689708634E-2</v>
      </c>
      <c r="IK20">
        <v>1.3276901587694656E-2</v>
      </c>
      <c r="IL20">
        <v>7.6492497786908725E-2</v>
      </c>
      <c r="IM20">
        <v>3.2994949778980022E-2</v>
      </c>
      <c r="IN20">
        <v>1.4403381748279135E-2</v>
      </c>
      <c r="IO20">
        <v>1.3118215724547314E-2</v>
      </c>
    </row>
    <row r="21" spans="5:249" x14ac:dyDescent="0.15">
      <c r="E21">
        <v>2.9603038367683899E-2</v>
      </c>
      <c r="F21">
        <v>4.5358536224902841E-4</v>
      </c>
      <c r="J21" s="17">
        <v>6.5481659486246499E-2</v>
      </c>
      <c r="K21" s="17">
        <v>1.2269498283489288E-2</v>
      </c>
      <c r="L21" s="17">
        <v>2.4133963968114291E-2</v>
      </c>
      <c r="M21" s="17">
        <v>0.12921721577389716</v>
      </c>
      <c r="N21" s="17">
        <v>2.105616326661169E-2</v>
      </c>
      <c r="O21" s="17">
        <v>2.7397996512720443E-2</v>
      </c>
      <c r="P21" s="17">
        <v>5.0408659194767752E-2</v>
      </c>
      <c r="Q21" s="17">
        <v>2.7877867738142798E-2</v>
      </c>
      <c r="R21" s="17">
        <v>1.0661661525463578E-2</v>
      </c>
      <c r="S21" s="17">
        <v>2.2810429639991206E-2</v>
      </c>
      <c r="T21">
        <v>4.6235763364575078E-2</v>
      </c>
      <c r="U21">
        <v>1.3120648057119495E-2</v>
      </c>
      <c r="V21">
        <v>3.0543371860695837E-2</v>
      </c>
      <c r="W21">
        <v>1.6503713190026296E-2</v>
      </c>
      <c r="X21">
        <v>1.7446531539244449E-2</v>
      </c>
      <c r="Y21">
        <v>2.7134399334900233E-2</v>
      </c>
      <c r="Z21">
        <v>3.5185338021394672E-3</v>
      </c>
      <c r="AA21">
        <v>1.2394313160187737E-2</v>
      </c>
      <c r="AB21">
        <v>5.5886077145801946E-2</v>
      </c>
      <c r="AC21">
        <v>7.7705329575879492E-3</v>
      </c>
      <c r="AD21">
        <v>3.6836641453218043E-2</v>
      </c>
      <c r="AE21">
        <v>4.6742813344283665E-2</v>
      </c>
      <c r="AF21">
        <v>3.5866794666342461E-2</v>
      </c>
      <c r="AG21">
        <v>1.2111257376608699E-2</v>
      </c>
      <c r="AH21">
        <v>3.8207555772984819E-2</v>
      </c>
      <c r="AI21">
        <v>4.1921176163876993E-2</v>
      </c>
      <c r="AJ21">
        <v>4.0708262344831526E-2</v>
      </c>
      <c r="AK21">
        <v>5.688019139004815E-2</v>
      </c>
      <c r="AL21">
        <v>2.0838220791321339E-2</v>
      </c>
      <c r="AM21">
        <v>1.5518979853131862E-2</v>
      </c>
      <c r="AN21">
        <v>3.2334144209488921E-2</v>
      </c>
      <c r="AO21">
        <v>1.8435517463443279E-2</v>
      </c>
      <c r="AP21">
        <v>6.0525585030982805E-3</v>
      </c>
      <c r="AQ21">
        <v>3.1643527649799975E-2</v>
      </c>
      <c r="AR21">
        <v>7.5441075430997956E-2</v>
      </c>
      <c r="AS21">
        <v>5.5371640346981804E-2</v>
      </c>
      <c r="AT21">
        <v>1.1907161983783948E-2</v>
      </c>
      <c r="AU21">
        <v>1.9986222324160766E-2</v>
      </c>
      <c r="AV21">
        <v>3.1572975134329911E-2</v>
      </c>
      <c r="AW21">
        <v>5.9098941716254058E-2</v>
      </c>
      <c r="AX21">
        <v>3.2035924260113424E-2</v>
      </c>
      <c r="AY21">
        <v>5.1061472498662309E-2</v>
      </c>
      <c r="AZ21">
        <v>2.0130455875761039E-2</v>
      </c>
      <c r="BA21">
        <v>6.868326995843008E-3</v>
      </c>
      <c r="BB21">
        <v>1.9665250781016753E-2</v>
      </c>
      <c r="BC21">
        <v>2.8197312696454698E-2</v>
      </c>
      <c r="BD21">
        <v>1.4976839573619784E-2</v>
      </c>
      <c r="BE21">
        <v>5.2714046092553792E-2</v>
      </c>
      <c r="BF21">
        <v>3.136987084480293E-2</v>
      </c>
      <c r="BG21">
        <v>0.12418284917328913</v>
      </c>
      <c r="BH21">
        <v>7.699638179635487E-3</v>
      </c>
      <c r="BI21">
        <v>2.2111443673222389E-2</v>
      </c>
      <c r="BJ21">
        <v>5.7503265174117281E-2</v>
      </c>
      <c r="BK21">
        <v>1.4775377837412708E-2</v>
      </c>
      <c r="BL21">
        <v>1.6154299000266752E-2</v>
      </c>
      <c r="BM21">
        <v>2.9449729941039459E-2</v>
      </c>
      <c r="BN21">
        <v>4.0015917241207857E-2</v>
      </c>
      <c r="BO21">
        <v>4.7393672227501876E-2</v>
      </c>
      <c r="BP21">
        <v>2.3200309745526171E-2</v>
      </c>
      <c r="BQ21">
        <v>5.4616124711250658E-2</v>
      </c>
      <c r="BR21">
        <v>4.6721311902948114E-2</v>
      </c>
      <c r="BS21">
        <v>1.0808488247126116E-2</v>
      </c>
      <c r="BT21">
        <v>2.9164693084094737E-2</v>
      </c>
      <c r="BU21">
        <v>4.1983803602340733E-3</v>
      </c>
      <c r="BV21">
        <v>3.1435324199871342E-2</v>
      </c>
      <c r="BW21">
        <v>2.4265838129880542E-2</v>
      </c>
      <c r="BX21">
        <v>1.9111713378324603E-2</v>
      </c>
      <c r="BY21">
        <v>6.9213825220069469E-2</v>
      </c>
      <c r="BZ21">
        <v>0.13776295226942037</v>
      </c>
      <c r="CA21">
        <v>7.2555941609581523E-2</v>
      </c>
      <c r="CB21">
        <v>1.8728242960150732E-2</v>
      </c>
      <c r="CC21">
        <v>3.2460501177393374E-2</v>
      </c>
      <c r="CD21">
        <v>2.051400879950108E-2</v>
      </c>
      <c r="CE21">
        <v>1.6685716433606498E-2</v>
      </c>
      <c r="CF21">
        <v>6.0427655641706143E-2</v>
      </c>
      <c r="CG21">
        <v>4.1183589399815847E-2</v>
      </c>
      <c r="CH21">
        <v>1.7678177185701829E-2</v>
      </c>
      <c r="CI21">
        <v>1.8063775076875902E-2</v>
      </c>
      <c r="CJ21">
        <v>4.67045797703389E-2</v>
      </c>
      <c r="CK21">
        <v>2.0984003968598681E-2</v>
      </c>
      <c r="CL21">
        <v>3.2752500969215601E-2</v>
      </c>
      <c r="CM21">
        <v>1.0358301889151843E-2</v>
      </c>
      <c r="CN21">
        <v>1.9515790301060799E-2</v>
      </c>
      <c r="CO21">
        <v>5.4121806398816877E-2</v>
      </c>
      <c r="CP21">
        <v>4.6599424413072917E-2</v>
      </c>
      <c r="CQ21">
        <v>1.3555830458496983E-2</v>
      </c>
      <c r="CR21">
        <v>1.2591628877716424E-2</v>
      </c>
      <c r="CS21">
        <v>2.3565703899664732E-2</v>
      </c>
      <c r="CT21">
        <v>3.1137936737808743E-2</v>
      </c>
      <c r="CU21">
        <v>4.0762634759094814E-2</v>
      </c>
      <c r="CV21">
        <v>4.8347769676215686E-2</v>
      </c>
      <c r="CW21">
        <v>8.5937897954970009E-3</v>
      </c>
      <c r="CX21">
        <v>5.0176038202356901E-2</v>
      </c>
      <c r="CY21">
        <v>3.9963892400556644E-2</v>
      </c>
      <c r="CZ21">
        <v>2.3107684119971574E-2</v>
      </c>
      <c r="DA21">
        <v>4.0936888392201533E-2</v>
      </c>
      <c r="DB21">
        <v>8.7954698828092842E-3</v>
      </c>
      <c r="DC21">
        <v>1.1636737075252195E-2</v>
      </c>
      <c r="DD21">
        <v>6.5028085684072888E-3</v>
      </c>
      <c r="DE21">
        <v>2.1094969609406444E-2</v>
      </c>
      <c r="DF21">
        <v>3.5585890450243102E-2</v>
      </c>
      <c r="DG21">
        <v>1.8853587515031089E-2</v>
      </c>
      <c r="DH21">
        <v>4.7018077610085467E-2</v>
      </c>
      <c r="DI21">
        <v>1.2126186971313903E-2</v>
      </c>
      <c r="DJ21">
        <v>2.3379151979557825E-2</v>
      </c>
      <c r="DK21">
        <v>2.2418091978178109E-2</v>
      </c>
      <c r="DL21">
        <v>5.4101080262301059E-2</v>
      </c>
      <c r="DM21">
        <v>3.3216712453776845E-2</v>
      </c>
      <c r="DN21">
        <v>6.7718093828264353E-2</v>
      </c>
      <c r="DO21">
        <v>8.3221666836701486E-2</v>
      </c>
      <c r="DP21">
        <v>1.1344201411394701E-2</v>
      </c>
      <c r="DQ21">
        <v>5.5010576046984845E-2</v>
      </c>
      <c r="DR21">
        <v>2.8188171871309708E-3</v>
      </c>
      <c r="DS21">
        <v>5.5651412469147843E-2</v>
      </c>
      <c r="DT21">
        <v>2.5741087600838833E-2</v>
      </c>
      <c r="DU21">
        <v>2.8592436807984248E-2</v>
      </c>
      <c r="DV21">
        <v>4.080028455066595E-3</v>
      </c>
      <c r="DW21">
        <v>4.0248667333251498E-2</v>
      </c>
      <c r="DX21">
        <v>1.0821142357919294E-2</v>
      </c>
      <c r="DY21">
        <v>4.3676786719518135E-2</v>
      </c>
      <c r="DZ21">
        <v>1.4238656515820623E-2</v>
      </c>
      <c r="EA21">
        <v>2.6252344951909305E-2</v>
      </c>
      <c r="EB21">
        <v>1.1000276523829783E-2</v>
      </c>
      <c r="EC21">
        <v>2.9680127008809513E-2</v>
      </c>
      <c r="ED21">
        <v>1.1120002895434718E-2</v>
      </c>
      <c r="EE21">
        <v>7.9734076531396032E-3</v>
      </c>
      <c r="EF21">
        <v>1.7023026419904042E-2</v>
      </c>
      <c r="EG21">
        <v>1.6470063985854627E-2</v>
      </c>
      <c r="EH21">
        <v>3.619992742964534E-2</v>
      </c>
      <c r="EI21">
        <v>1.7067853381885451E-2</v>
      </c>
      <c r="EJ21">
        <v>6.0672566218260881E-3</v>
      </c>
      <c r="EK21">
        <v>6.1303840198429015E-2</v>
      </c>
      <c r="EL21">
        <v>1.2533015553450865E-2</v>
      </c>
      <c r="EM21">
        <v>1.4549045176228882E-2</v>
      </c>
      <c r="EN21">
        <v>3.1090592040333025E-2</v>
      </c>
      <c r="EO21">
        <v>2.1192367757951438E-2</v>
      </c>
      <c r="EP21">
        <v>1.7373022524981165E-2</v>
      </c>
      <c r="EQ21">
        <v>2.8281201541095886E-2</v>
      </c>
      <c r="ER21">
        <v>5.4640807626138002E-2</v>
      </c>
      <c r="ES21">
        <v>1.3983672691226511E-2</v>
      </c>
      <c r="ET21">
        <v>6.8105100390437684E-2</v>
      </c>
      <c r="EU21">
        <v>8.3214924650995333E-3</v>
      </c>
      <c r="EV21">
        <v>3.4664528818924477E-2</v>
      </c>
      <c r="EW21">
        <v>2.2233730838262803E-2</v>
      </c>
      <c r="EX21">
        <v>6.1856223349644E-3</v>
      </c>
      <c r="EY21">
        <v>4.1358050493232261E-2</v>
      </c>
      <c r="EZ21">
        <v>1.8008396018513378E-2</v>
      </c>
      <c r="FA21">
        <v>1.2240253401710387E-2</v>
      </c>
      <c r="FB21">
        <v>6.8888337785627529E-2</v>
      </c>
      <c r="FC21">
        <v>3.2022412628030003E-2</v>
      </c>
      <c r="FD21">
        <v>3.3094010380522322E-2</v>
      </c>
      <c r="FE21">
        <v>1.7105308508789944E-2</v>
      </c>
      <c r="FF21">
        <v>4.0428723049159704E-2</v>
      </c>
      <c r="FG21">
        <v>1.2490423755254564E-2</v>
      </c>
      <c r="FH21">
        <v>1.9847834310254331E-2</v>
      </c>
      <c r="FI21">
        <v>1.7636027910848853E-2</v>
      </c>
      <c r="FJ21">
        <v>1.5435283907988279E-3</v>
      </c>
      <c r="FK21">
        <v>1.6885885235486415E-2</v>
      </c>
      <c r="FL21">
        <v>2.9879524820645952E-2</v>
      </c>
      <c r="FM21">
        <v>4.4731447842069574E-2</v>
      </c>
      <c r="FN21">
        <v>3.0328755133195953E-2</v>
      </c>
      <c r="FO21">
        <v>1.079058064762152E-2</v>
      </c>
      <c r="FP21">
        <v>2.4368891156016308E-2</v>
      </c>
      <c r="FQ21">
        <v>1.2447737886503545E-2</v>
      </c>
      <c r="FR21">
        <v>5.3894978376365095E-2</v>
      </c>
      <c r="FS21">
        <v>3.1964907381215983E-2</v>
      </c>
      <c r="FT21">
        <v>3.414035787100126E-2</v>
      </c>
      <c r="FU21">
        <v>4.745449799376044E-2</v>
      </c>
      <c r="FV21">
        <v>2.7317633272780827E-2</v>
      </c>
      <c r="FW21">
        <v>6.8400562503769857E-2</v>
      </c>
      <c r="FX21">
        <v>1.2891380262640152E-2</v>
      </c>
      <c r="FY21">
        <v>1.2041021118310917E-2</v>
      </c>
      <c r="FZ21">
        <v>4.188999790266279E-2</v>
      </c>
      <c r="GA21">
        <v>3.395829796047542E-2</v>
      </c>
      <c r="GB21">
        <v>9.01697029948338E-3</v>
      </c>
      <c r="GC21">
        <v>6.7020974221849869E-2</v>
      </c>
      <c r="GD21">
        <v>8.6571184610295792E-3</v>
      </c>
      <c r="GE21">
        <v>3.0539467708239697E-2</v>
      </c>
      <c r="GF21">
        <v>6.5495554951657431E-2</v>
      </c>
      <c r="GG21">
        <v>4.148090323847891E-2</v>
      </c>
      <c r="GH21">
        <v>2.5996241406989595E-2</v>
      </c>
      <c r="GI21">
        <v>1.9737141653706231E-2</v>
      </c>
      <c r="GJ21">
        <v>2.4905559741226546E-2</v>
      </c>
      <c r="GK21">
        <v>1.524028172638949E-2</v>
      </c>
      <c r="GL21">
        <v>1.2039650018057891E-2</v>
      </c>
      <c r="GM21">
        <v>5.5966697934485433E-3</v>
      </c>
      <c r="GN21">
        <v>1.2236725483262746E-2</v>
      </c>
      <c r="GO21">
        <v>9.2309367583414924E-3</v>
      </c>
      <c r="GP21">
        <v>1.6143251731851958E-2</v>
      </c>
      <c r="GQ21">
        <v>2.6329150695246405E-2</v>
      </c>
      <c r="GR21">
        <v>2.5934679792182506E-2</v>
      </c>
      <c r="GS21">
        <v>1.9761545475326103E-2</v>
      </c>
      <c r="GT21">
        <v>4.6634259268727891E-3</v>
      </c>
      <c r="GU21">
        <v>1.3147150849414592E-2</v>
      </c>
      <c r="GV21">
        <v>1.6116606765436546E-2</v>
      </c>
      <c r="GW21">
        <v>1.274067405811362E-2</v>
      </c>
      <c r="GX21">
        <v>9.4077052329491123E-2</v>
      </c>
      <c r="GY21">
        <v>4.8979525640772265E-3</v>
      </c>
      <c r="GZ21">
        <v>5.3425609909470931E-3</v>
      </c>
      <c r="HA21">
        <v>4.9620878355793881E-2</v>
      </c>
      <c r="HB21">
        <v>2.7967267832702647E-2</v>
      </c>
      <c r="HC21">
        <v>4.0663774002608413E-2</v>
      </c>
      <c r="HD21">
        <v>5.1249669718948329E-2</v>
      </c>
      <c r="HE21">
        <v>4.2117455718308501E-2</v>
      </c>
      <c r="HF21">
        <v>6.3859886897865833E-3</v>
      </c>
      <c r="HG21">
        <v>2.1423250823254174E-2</v>
      </c>
      <c r="HH21">
        <v>4.6188000340341415E-2</v>
      </c>
      <c r="HI21">
        <v>2.8713096328223536E-2</v>
      </c>
      <c r="HJ21">
        <v>8.2130793014452801E-3</v>
      </c>
      <c r="HK21">
        <v>2.5260553477881E-2</v>
      </c>
      <c r="HL21">
        <v>6.7643137343743522E-3</v>
      </c>
      <c r="HM21">
        <v>2.3989867869344733E-2</v>
      </c>
      <c r="HN21">
        <v>2.5728620014780646E-2</v>
      </c>
      <c r="HO21">
        <v>2.7874149582755064E-2</v>
      </c>
      <c r="HP21">
        <v>5.4537347162194293E-2</v>
      </c>
      <c r="HQ21">
        <v>1.7749885860522563E-2</v>
      </c>
      <c r="HR21">
        <v>5.7115719597311779E-2</v>
      </c>
      <c r="HS21">
        <v>2.3434523943574214E-2</v>
      </c>
      <c r="HT21">
        <v>1.4133749899814743E-2</v>
      </c>
      <c r="HU21">
        <v>2.5951719469254023E-2</v>
      </c>
      <c r="HV21">
        <v>2.1674345670167447E-2</v>
      </c>
      <c r="HW21">
        <v>1.0644972644174185E-2</v>
      </c>
      <c r="HX21">
        <v>1.9741822878945697E-2</v>
      </c>
      <c r="HY21">
        <v>1.5908223711532169E-2</v>
      </c>
      <c r="HZ21">
        <v>7.0646214834853786E-3</v>
      </c>
      <c r="IA21">
        <v>5.6173256694062604E-2</v>
      </c>
      <c r="IB21">
        <v>1.2821788468382247E-2</v>
      </c>
      <c r="IC21">
        <v>7.5523921735680321E-3</v>
      </c>
      <c r="ID21">
        <v>7.0258379889706943E-2</v>
      </c>
      <c r="IE21">
        <v>4.3583793893295253E-2</v>
      </c>
      <c r="IF21">
        <v>2.5369724743793693E-2</v>
      </c>
      <c r="IG21">
        <v>2.9301330349150497E-2</v>
      </c>
      <c r="IH21">
        <v>6.008454541450681E-3</v>
      </c>
      <c r="II21">
        <v>1.4863457621371146E-2</v>
      </c>
      <c r="IJ21">
        <v>2.4049354003338828E-2</v>
      </c>
      <c r="IK21">
        <v>7.8656994737932584E-3</v>
      </c>
      <c r="IL21">
        <v>4.8556839799875295E-2</v>
      </c>
      <c r="IM21">
        <v>3.8794594513512137E-2</v>
      </c>
      <c r="IN21">
        <v>2.3441973643897062E-2</v>
      </c>
      <c r="IO21">
        <v>1.2145470578740143E-2</v>
      </c>
    </row>
    <row r="22" spans="5:249" x14ac:dyDescent="0.15">
      <c r="E22">
        <v>2.9978423443771954E-2</v>
      </c>
      <c r="F22">
        <v>4.9923082941482418E-4</v>
      </c>
      <c r="J22" s="17">
        <v>6.4424089287201849E-2</v>
      </c>
      <c r="K22" s="17">
        <v>9.0314993519267622E-3</v>
      </c>
      <c r="L22" s="17">
        <v>2.3823507016955715E-2</v>
      </c>
      <c r="M22" s="17">
        <v>0.12338312903260572</v>
      </c>
      <c r="N22" s="17">
        <v>2.4151476600029722E-2</v>
      </c>
      <c r="O22" s="17">
        <v>3.6732691233342864E-2</v>
      </c>
      <c r="P22" s="17">
        <v>6.2249409969589588E-2</v>
      </c>
      <c r="Q22" s="17">
        <v>2.1422668527007246E-2</v>
      </c>
      <c r="R22" s="17">
        <v>9.4664682499635833E-3</v>
      </c>
      <c r="S22" s="17">
        <v>2.4256129577023142E-2</v>
      </c>
      <c r="T22">
        <v>3.6314935479081732E-2</v>
      </c>
      <c r="U22">
        <v>1.6515265706875483E-2</v>
      </c>
      <c r="V22">
        <v>2.2059334611821566E-2</v>
      </c>
      <c r="W22">
        <v>1.6165594205827232E-2</v>
      </c>
      <c r="X22">
        <v>1.3137276697761147E-2</v>
      </c>
      <c r="Y22">
        <v>2.6809564868738353E-2</v>
      </c>
      <c r="Z22">
        <v>2.6188916230712182E-3</v>
      </c>
      <c r="AA22">
        <v>1.2135249153279425E-2</v>
      </c>
      <c r="AB22">
        <v>6.4548201482295883E-2</v>
      </c>
      <c r="AC22">
        <v>1.0117798544738097E-2</v>
      </c>
      <c r="AD22">
        <v>3.1923610475089306E-2</v>
      </c>
      <c r="AE22">
        <v>5.8663581247270398E-2</v>
      </c>
      <c r="AF22">
        <v>4.4496057883288996E-2</v>
      </c>
      <c r="AG22">
        <v>1.1651610272774469E-2</v>
      </c>
      <c r="AH22">
        <v>4.0817781037367204E-2</v>
      </c>
      <c r="AI22">
        <v>4.5771116281158743E-2</v>
      </c>
      <c r="AJ22">
        <v>3.9430153825561615E-2</v>
      </c>
      <c r="AK22">
        <v>6.4194249571847745E-2</v>
      </c>
      <c r="AL22">
        <v>2.3210044005135759E-2</v>
      </c>
      <c r="AM22">
        <v>1.2443568409076209E-2</v>
      </c>
      <c r="AN22">
        <v>3.4350877659917962E-2</v>
      </c>
      <c r="AO22">
        <v>2.2863902821888014E-2</v>
      </c>
      <c r="AP22">
        <v>5.3726732761743591E-3</v>
      </c>
      <c r="AQ22">
        <v>2.5621861033615884E-2</v>
      </c>
      <c r="AR22">
        <v>7.7263629923067095E-2</v>
      </c>
      <c r="AS22">
        <v>5.6107410505987394E-2</v>
      </c>
      <c r="AT22">
        <v>7.9276798538552695E-3</v>
      </c>
      <c r="AU22">
        <v>2.0147345221340599E-2</v>
      </c>
      <c r="AV22">
        <v>4.124641165851467E-2</v>
      </c>
      <c r="AW22">
        <v>5.7196611168597054E-2</v>
      </c>
      <c r="AX22">
        <v>2.7244071419689167E-2</v>
      </c>
      <c r="AY22">
        <v>5.5566883067024696E-2</v>
      </c>
      <c r="AZ22">
        <v>1.2481120389970466E-2</v>
      </c>
      <c r="BA22">
        <v>7.2119585878180972E-3</v>
      </c>
      <c r="BB22">
        <v>1.5180584237975366E-2</v>
      </c>
      <c r="BC22">
        <v>2.6803357075519493E-2</v>
      </c>
      <c r="BD22">
        <v>1.4924997666697687E-2</v>
      </c>
      <c r="BE22">
        <v>4.3843128263980104E-2</v>
      </c>
      <c r="BF22">
        <v>3.9215996910962635E-2</v>
      </c>
      <c r="BG22">
        <v>0.11775302759596912</v>
      </c>
      <c r="BH22">
        <v>6.090470400406796E-3</v>
      </c>
      <c r="BI22">
        <v>2.4367104817930876E-2</v>
      </c>
      <c r="BJ22">
        <v>6.0961522627611363E-2</v>
      </c>
      <c r="BK22">
        <v>1.8208478053841952E-2</v>
      </c>
      <c r="BL22">
        <v>1.6768383648109886E-2</v>
      </c>
      <c r="BM22">
        <v>4.1149563990610101E-2</v>
      </c>
      <c r="BN22">
        <v>3.5033943990362151E-2</v>
      </c>
      <c r="BO22">
        <v>5.6908541267642145E-2</v>
      </c>
      <c r="BP22">
        <v>2.1847328999181761E-2</v>
      </c>
      <c r="BQ22">
        <v>5.9673714997962882E-2</v>
      </c>
      <c r="BR22">
        <v>4.2586827840645596E-2</v>
      </c>
      <c r="BS22">
        <v>1.1877496837922823E-2</v>
      </c>
      <c r="BT22">
        <v>2.29860082472945E-2</v>
      </c>
      <c r="BU22">
        <v>4.2095533371493557E-3</v>
      </c>
      <c r="BV22">
        <v>3.9155148578733603E-2</v>
      </c>
      <c r="BW22">
        <v>2.2855801959582978E-2</v>
      </c>
      <c r="BX22">
        <v>1.4031549977756155E-2</v>
      </c>
      <c r="BY22">
        <v>5.9128727434220194E-2</v>
      </c>
      <c r="BZ22">
        <v>0.13981765909195179</v>
      </c>
      <c r="CA22">
        <v>8.7776650333589168E-2</v>
      </c>
      <c r="CB22">
        <v>1.9344135828059304E-2</v>
      </c>
      <c r="CC22">
        <v>3.231906996494148E-2</v>
      </c>
      <c r="CD22">
        <v>1.6294065960796016E-2</v>
      </c>
      <c r="CE22">
        <v>1.4582436761773638E-2</v>
      </c>
      <c r="CF22">
        <v>6.9297652361943282E-2</v>
      </c>
      <c r="CG22">
        <v>4.0424422349258263E-2</v>
      </c>
      <c r="CH22">
        <v>1.4425922944154564E-2</v>
      </c>
      <c r="CI22">
        <v>1.7361709407363101E-2</v>
      </c>
      <c r="CJ22">
        <v>4.0847429830994347E-2</v>
      </c>
      <c r="CK22">
        <v>2.7291307534411807E-2</v>
      </c>
      <c r="CL22">
        <v>2.2977413267216355E-2</v>
      </c>
      <c r="CM22">
        <v>5.8489501883342574E-3</v>
      </c>
      <c r="CN22">
        <v>3.5907336766163186E-2</v>
      </c>
      <c r="CO22">
        <v>6.0959939132606937E-2</v>
      </c>
      <c r="CP22">
        <v>5.0171802710417948E-2</v>
      </c>
      <c r="CQ22">
        <v>1.4974472030946217E-2</v>
      </c>
      <c r="CR22">
        <v>1.0990786818829579E-2</v>
      </c>
      <c r="CS22">
        <v>1.8328396924519246E-2</v>
      </c>
      <c r="CT22">
        <v>2.7986932726491762E-2</v>
      </c>
      <c r="CU22">
        <v>3.7153694771423655E-2</v>
      </c>
      <c r="CV22">
        <v>3.6423197579623534E-2</v>
      </c>
      <c r="CW22">
        <v>9.9614766145399471E-3</v>
      </c>
      <c r="CX22">
        <v>5.7829580071923764E-2</v>
      </c>
      <c r="CY22">
        <v>4.9876910080606185E-2</v>
      </c>
      <c r="CZ22">
        <v>2.6468324311499897E-2</v>
      </c>
      <c r="DA22">
        <v>4.0482532576110238E-2</v>
      </c>
      <c r="DB22">
        <v>6.5817756859490577E-3</v>
      </c>
      <c r="DC22">
        <v>1.1564135768346959E-2</v>
      </c>
      <c r="DD22">
        <v>6.3733747985355938E-3</v>
      </c>
      <c r="DE22">
        <v>2.6054293417219529E-2</v>
      </c>
      <c r="DF22">
        <v>3.1578183293407933E-2</v>
      </c>
      <c r="DG22">
        <v>2.3333985507251975E-2</v>
      </c>
      <c r="DH22">
        <v>4.2153171897360779E-2</v>
      </c>
      <c r="DI22">
        <v>1.7183821398607791E-2</v>
      </c>
      <c r="DJ22">
        <v>2.3351134743370961E-2</v>
      </c>
      <c r="DK22">
        <v>2.2263220419089114E-2</v>
      </c>
      <c r="DL22">
        <v>4.880419758238163E-2</v>
      </c>
      <c r="DM22">
        <v>2.9852040311011803E-2</v>
      </c>
      <c r="DN22">
        <v>5.0099151917571187E-2</v>
      </c>
      <c r="DO22">
        <v>0.11286923911466538</v>
      </c>
      <c r="DP22">
        <v>8.6682983264661003E-3</v>
      </c>
      <c r="DQ22">
        <v>5.7816214656278841E-2</v>
      </c>
      <c r="DR22">
        <v>2.5272379030810933E-3</v>
      </c>
      <c r="DS22">
        <v>3.6337219464920203E-2</v>
      </c>
      <c r="DT22">
        <v>2.593761671319756E-2</v>
      </c>
      <c r="DU22">
        <v>2.6260096652836191E-2</v>
      </c>
      <c r="DV22">
        <v>6.4618588462061035E-3</v>
      </c>
      <c r="DW22">
        <v>3.9661738705320929E-2</v>
      </c>
      <c r="DX22">
        <v>7.8992344721261591E-3</v>
      </c>
      <c r="DY22">
        <v>5.5537573404779383E-2</v>
      </c>
      <c r="DZ22">
        <v>1.9554946908751189E-2</v>
      </c>
      <c r="EA22">
        <v>2.065515537272028E-2</v>
      </c>
      <c r="EB22">
        <v>1.0319324625296299E-2</v>
      </c>
      <c r="EC22">
        <v>2.7140357417391198E-2</v>
      </c>
      <c r="ED22">
        <v>9.1884749531510514E-3</v>
      </c>
      <c r="EE22">
        <v>9.609870532347433E-3</v>
      </c>
      <c r="EF22">
        <v>1.9388365718906123E-2</v>
      </c>
      <c r="EG22">
        <v>1.8667565612476178E-2</v>
      </c>
      <c r="EH22">
        <v>3.5890258029957607E-2</v>
      </c>
      <c r="EI22">
        <v>1.3040226575121151E-2</v>
      </c>
      <c r="EJ22">
        <v>4.0933363924610632E-3</v>
      </c>
      <c r="EK22">
        <v>7.0783056284506596E-2</v>
      </c>
      <c r="EL22">
        <v>8.5476698307075261E-3</v>
      </c>
      <c r="EM22">
        <v>8.891198132713593E-3</v>
      </c>
      <c r="EN22">
        <v>2.9922145479725697E-2</v>
      </c>
      <c r="EO22">
        <v>2.4548258305810207E-2</v>
      </c>
      <c r="EP22">
        <v>1.3215216638125639E-2</v>
      </c>
      <c r="EQ22">
        <v>3.2288940851198773E-2</v>
      </c>
      <c r="ER22">
        <v>7.6980867628206523E-2</v>
      </c>
      <c r="ES22">
        <v>1.9483319546952642E-2</v>
      </c>
      <c r="ET22">
        <v>7.8640671036606991E-2</v>
      </c>
      <c r="EU22">
        <v>5.7400418426274118E-3</v>
      </c>
      <c r="EV22">
        <v>3.2185390691328614E-2</v>
      </c>
      <c r="EW22">
        <v>2.2632219623209444E-2</v>
      </c>
      <c r="EX22">
        <v>4.7561287389897566E-3</v>
      </c>
      <c r="EY22">
        <v>3.2200377843638821E-2</v>
      </c>
      <c r="EZ22">
        <v>1.6504114797042856E-2</v>
      </c>
      <c r="FA22">
        <v>1.2815107311767691E-2</v>
      </c>
      <c r="FB22">
        <v>7.2390588946020559E-2</v>
      </c>
      <c r="FC22">
        <v>3.7428555854536159E-2</v>
      </c>
      <c r="FD22">
        <v>3.520493749344214E-2</v>
      </c>
      <c r="FE22">
        <v>2.4996384787912648E-2</v>
      </c>
      <c r="FF22">
        <v>4.1159840508004482E-2</v>
      </c>
      <c r="FG22">
        <v>1.4511373421192419E-2</v>
      </c>
      <c r="FH22">
        <v>2.2038985990283359E-2</v>
      </c>
      <c r="FI22">
        <v>2.7457391229449898E-2</v>
      </c>
      <c r="FJ22">
        <v>1.91239928651989E-3</v>
      </c>
      <c r="FK22">
        <v>1.4008688874692156E-2</v>
      </c>
      <c r="FL22">
        <v>3.2471451348515909E-2</v>
      </c>
      <c r="FM22">
        <v>4.6274616858286287E-2</v>
      </c>
      <c r="FN22">
        <v>4.5050320458980692E-2</v>
      </c>
      <c r="FO22">
        <v>9.6301892511695391E-3</v>
      </c>
      <c r="FP22">
        <v>2.644067977270791E-2</v>
      </c>
      <c r="FQ22">
        <v>1.3408688891736591E-2</v>
      </c>
      <c r="FR22">
        <v>5.7800451272711897E-2</v>
      </c>
      <c r="FS22">
        <v>4.6660615445386966E-2</v>
      </c>
      <c r="FT22">
        <v>2.5428840185701507E-2</v>
      </c>
      <c r="FU22">
        <v>5.2930579776652817E-2</v>
      </c>
      <c r="FV22">
        <v>2.6109820906927018E-2</v>
      </c>
      <c r="FW22">
        <v>7.3351782329941898E-2</v>
      </c>
      <c r="FX22">
        <v>1.2150755570780195E-2</v>
      </c>
      <c r="FY22">
        <v>1.2694368748532074E-2</v>
      </c>
      <c r="FZ22">
        <v>4.9521543642819313E-2</v>
      </c>
      <c r="GA22">
        <v>3.3064837348738975E-2</v>
      </c>
      <c r="GB22">
        <v>8.1255553884574897E-3</v>
      </c>
      <c r="GC22">
        <v>6.3845904989602908E-2</v>
      </c>
      <c r="GD22">
        <v>7.297212192036588E-3</v>
      </c>
      <c r="GE22">
        <v>3.4057740417812198E-2</v>
      </c>
      <c r="GF22">
        <v>6.7359485809342617E-2</v>
      </c>
      <c r="GG22">
        <v>3.6446481999569048E-2</v>
      </c>
      <c r="GH22">
        <v>2.294796639101853E-2</v>
      </c>
      <c r="GI22">
        <v>1.5323838614235526E-2</v>
      </c>
      <c r="GJ22">
        <v>2.9140629942494691E-2</v>
      </c>
      <c r="GK22">
        <v>1.4337792067520651E-2</v>
      </c>
      <c r="GL22">
        <v>1.2300277096200879E-2</v>
      </c>
      <c r="GM22">
        <v>6.5375413459266268E-3</v>
      </c>
      <c r="GN22">
        <v>1.2548045832281692E-2</v>
      </c>
      <c r="GO22">
        <v>1.0551527539358825E-2</v>
      </c>
      <c r="GP22">
        <v>2.1381783651565324E-2</v>
      </c>
      <c r="GQ22">
        <v>2.2488328778992889E-2</v>
      </c>
      <c r="GR22">
        <v>2.8151146878730538E-2</v>
      </c>
      <c r="GS22">
        <v>1.324735422147085E-2</v>
      </c>
      <c r="GT22">
        <v>5.9115572122872117E-3</v>
      </c>
      <c r="GU22">
        <v>1.1318504279430781E-2</v>
      </c>
      <c r="GV22">
        <v>2.2037487346582191E-2</v>
      </c>
      <c r="GW22">
        <v>1.0460772271268046E-2</v>
      </c>
      <c r="GX22">
        <v>7.9559201550447614E-2</v>
      </c>
      <c r="GY22">
        <v>3.8805830981237131E-3</v>
      </c>
      <c r="GZ22">
        <v>5.8175483626534009E-3</v>
      </c>
      <c r="HA22">
        <v>5.2834721268680343E-2</v>
      </c>
      <c r="HB22">
        <v>2.7522590117692782E-2</v>
      </c>
      <c r="HC22">
        <v>3.5525840242299787E-2</v>
      </c>
      <c r="HD22">
        <v>4.98462258143424E-2</v>
      </c>
      <c r="HE22">
        <v>3.1527819045400897E-2</v>
      </c>
      <c r="HF22">
        <v>6.1865969004087727E-3</v>
      </c>
      <c r="HG22">
        <v>2.9944271027718558E-2</v>
      </c>
      <c r="HH22">
        <v>4.8112883341952226E-2</v>
      </c>
      <c r="HI22">
        <v>3.4772934910086893E-2</v>
      </c>
      <c r="HJ22">
        <v>9.162897554794212E-3</v>
      </c>
      <c r="HK22">
        <v>3.8061348927203038E-2</v>
      </c>
      <c r="HL22">
        <v>6.0825174125150594E-3</v>
      </c>
      <c r="HM22">
        <v>2.079727109830316E-2</v>
      </c>
      <c r="HN22">
        <v>3.4647701567533343E-2</v>
      </c>
      <c r="HO22">
        <v>2.7095247125516284E-2</v>
      </c>
      <c r="HP22">
        <v>5.2959425745500575E-2</v>
      </c>
      <c r="HQ22">
        <v>1.7763928798644427E-2</v>
      </c>
      <c r="HR22">
        <v>4.4870373391922819E-2</v>
      </c>
      <c r="HS22">
        <v>1.8722911483129191E-2</v>
      </c>
      <c r="HT22">
        <v>1.0485744456512538E-2</v>
      </c>
      <c r="HU22">
        <v>3.2086116215554773E-2</v>
      </c>
      <c r="HV22">
        <v>1.9377481300717966E-2</v>
      </c>
      <c r="HW22">
        <v>1.2135974645225029E-2</v>
      </c>
      <c r="HX22">
        <v>1.3376855320395788E-2</v>
      </c>
      <c r="HY22">
        <v>1.3989722286278938E-2</v>
      </c>
      <c r="HZ22">
        <v>7.4130125613465197E-3</v>
      </c>
      <c r="IA22">
        <v>7.0286499224772189E-2</v>
      </c>
      <c r="IB22">
        <v>8.1756259635139238E-3</v>
      </c>
      <c r="IC22">
        <v>7.8434680183557103E-3</v>
      </c>
      <c r="ID22">
        <v>5.4286886054547547E-2</v>
      </c>
      <c r="IE22">
        <v>5.2487652712399212E-2</v>
      </c>
      <c r="IF22">
        <v>2.9226352337381124E-2</v>
      </c>
      <c r="IG22">
        <v>2.4126160869344923E-2</v>
      </c>
      <c r="IH22">
        <v>4.4499945559018806E-3</v>
      </c>
      <c r="II22">
        <v>8.9339682804999605E-3</v>
      </c>
      <c r="IJ22">
        <v>2.2379967530706504E-2</v>
      </c>
      <c r="IK22">
        <v>9.0070589317554611E-3</v>
      </c>
      <c r="IL22">
        <v>3.0835544707191076E-2</v>
      </c>
      <c r="IM22">
        <v>3.0069309168242329E-2</v>
      </c>
      <c r="IN22">
        <v>3.4129390781191135E-2</v>
      </c>
      <c r="IO22">
        <v>1.3004099095288206E-2</v>
      </c>
    </row>
    <row r="23" spans="5:249" x14ac:dyDescent="0.15">
      <c r="E23">
        <v>3.0219594873200053E-2</v>
      </c>
      <c r="F23">
        <v>6.3506132744535536E-4</v>
      </c>
      <c r="J23" s="17">
        <v>4.8912975448829193E-2</v>
      </c>
      <c r="K23" s="17">
        <v>9.0452622518526742E-3</v>
      </c>
      <c r="L23" s="17">
        <v>2.8982481455027628E-2</v>
      </c>
      <c r="M23" s="17">
        <v>0.14543005638399695</v>
      </c>
      <c r="N23" s="17">
        <v>2.4148738932712202E-2</v>
      </c>
      <c r="O23" s="17">
        <v>3.4839534160887815E-2</v>
      </c>
      <c r="P23" s="17">
        <v>6.5193245601651004E-2</v>
      </c>
      <c r="Q23" s="17">
        <v>3.3505150860340303E-2</v>
      </c>
      <c r="R23" s="17">
        <v>1.1838539965097645E-2</v>
      </c>
      <c r="S23" s="17">
        <v>1.991637962972484E-2</v>
      </c>
      <c r="T23">
        <v>2.4062703249341389E-2</v>
      </c>
      <c r="U23">
        <v>1.3339072805933742E-2</v>
      </c>
      <c r="V23">
        <v>1.3298719380070665E-2</v>
      </c>
      <c r="W23">
        <v>8.4087737303488522E-3</v>
      </c>
      <c r="X23">
        <v>1.213471671678237E-2</v>
      </c>
      <c r="Y23">
        <v>3.0079376994237701E-2</v>
      </c>
      <c r="Z23">
        <v>2.5394852635090455E-3</v>
      </c>
      <c r="AA23">
        <v>1.521868343263494E-2</v>
      </c>
      <c r="AB23">
        <v>6.3809054878395458E-2</v>
      </c>
      <c r="AC23">
        <v>7.9890565374446977E-3</v>
      </c>
      <c r="AD23">
        <v>2.7045226499319227E-2</v>
      </c>
      <c r="AE23">
        <v>4.371049571821535E-2</v>
      </c>
      <c r="AF23">
        <v>4.8518556784890636E-2</v>
      </c>
      <c r="AG23">
        <v>8.997809164530704E-3</v>
      </c>
      <c r="AH23">
        <v>5.335484608089678E-2</v>
      </c>
      <c r="AI23">
        <v>4.3401244917813428E-2</v>
      </c>
      <c r="AJ23">
        <v>2.7845532703673466E-2</v>
      </c>
      <c r="AK23">
        <v>8.2569548302319815E-2</v>
      </c>
      <c r="AL23">
        <v>2.5915057097454786E-2</v>
      </c>
      <c r="AM23">
        <v>1.2461832496234025E-2</v>
      </c>
      <c r="AN23">
        <v>3.8437304657208946E-2</v>
      </c>
      <c r="AO23">
        <v>1.8733766185464872E-2</v>
      </c>
      <c r="AP23">
        <v>5.2741803203718105E-3</v>
      </c>
      <c r="AQ23">
        <v>2.6973702701957505E-2</v>
      </c>
      <c r="AR23">
        <v>0.1021283308160009</v>
      </c>
      <c r="AS23">
        <v>7.045327423003743E-2</v>
      </c>
      <c r="AT23">
        <v>7.0651334119239025E-3</v>
      </c>
      <c r="AU23">
        <v>1.4394572231131232E-2</v>
      </c>
      <c r="AV23">
        <v>2.9361197125443272E-2</v>
      </c>
      <c r="AW23">
        <v>7.2446493858459096E-2</v>
      </c>
      <c r="AX23">
        <v>2.9047609317542196E-2</v>
      </c>
      <c r="AY23">
        <v>5.9845750265156129E-2</v>
      </c>
      <c r="AZ23">
        <v>1.3885402182691119E-2</v>
      </c>
      <c r="BA23">
        <v>6.841557567197681E-3</v>
      </c>
      <c r="BB23">
        <v>1.5325650474997426E-2</v>
      </c>
      <c r="BC23">
        <v>3.4734807270030379E-2</v>
      </c>
      <c r="BD23">
        <v>1.5281632751533231E-2</v>
      </c>
      <c r="BE23">
        <v>4.7239998903387481E-2</v>
      </c>
      <c r="BF23">
        <v>3.6587115426581801E-2</v>
      </c>
      <c r="BG23">
        <v>9.5668985159491945E-2</v>
      </c>
      <c r="BH23">
        <v>7.1592633361644304E-3</v>
      </c>
      <c r="BI23">
        <v>2.5966936674256196E-2</v>
      </c>
      <c r="BJ23">
        <v>5.2842709057238549E-2</v>
      </c>
      <c r="BK23">
        <v>2.5475823370166267E-2</v>
      </c>
      <c r="BL23">
        <v>1.2844136423835915E-2</v>
      </c>
      <c r="BM23">
        <v>4.6079030611675308E-2</v>
      </c>
      <c r="BN23">
        <v>2.708791389453144E-2</v>
      </c>
      <c r="BO23">
        <v>4.6434942909637462E-2</v>
      </c>
      <c r="BP23">
        <v>2.245927600944312E-2</v>
      </c>
      <c r="BQ23">
        <v>4.0152092435219451E-2</v>
      </c>
      <c r="BR23">
        <v>3.9429663747022108E-2</v>
      </c>
      <c r="BS23">
        <v>1.4362334171966494E-2</v>
      </c>
      <c r="BT23">
        <v>1.9306871338146667E-2</v>
      </c>
      <c r="BU23">
        <v>3.9392929677099491E-3</v>
      </c>
      <c r="BV23">
        <v>3.8112959349147477E-2</v>
      </c>
      <c r="BW23">
        <v>2.3052343801116062E-2</v>
      </c>
      <c r="BX23">
        <v>1.816070397750167E-2</v>
      </c>
      <c r="BY23">
        <v>7.266977422279218E-2</v>
      </c>
      <c r="BZ23">
        <v>0.15314504582163496</v>
      </c>
      <c r="CA23">
        <v>6.5850681803371169E-2</v>
      </c>
      <c r="CB23">
        <v>1.7098317069668585E-2</v>
      </c>
      <c r="CC23">
        <v>2.8842941841943553E-2</v>
      </c>
      <c r="CD23">
        <v>1.9600453674047461E-2</v>
      </c>
      <c r="CE23">
        <v>1.1402264121698888E-2</v>
      </c>
      <c r="CF23">
        <v>8.4742634600035366E-2</v>
      </c>
      <c r="CG23">
        <v>4.3232985972388477E-2</v>
      </c>
      <c r="CH23">
        <v>1.5868786210525156E-2</v>
      </c>
      <c r="CI23">
        <v>1.4148065793304984E-2</v>
      </c>
      <c r="CJ23">
        <v>4.2188955574626055E-2</v>
      </c>
      <c r="CK23">
        <v>2.0456684570361507E-2</v>
      </c>
      <c r="CL23">
        <v>1.0464456501676329E-2</v>
      </c>
      <c r="CM23">
        <v>5.5861046547649564E-3</v>
      </c>
      <c r="CN23">
        <v>4.3821095608151429E-2</v>
      </c>
      <c r="CO23">
        <v>5.3748312493281387E-2</v>
      </c>
      <c r="CP23">
        <v>5.3215419030125444E-2</v>
      </c>
      <c r="CQ23">
        <v>1.7043745082794881E-2</v>
      </c>
      <c r="CR23">
        <v>9.8390381082069742E-3</v>
      </c>
      <c r="CS23">
        <v>1.4329080059750806E-2</v>
      </c>
      <c r="CT23">
        <v>2.9575797974841767E-2</v>
      </c>
      <c r="CU23">
        <v>2.7939910486409383E-2</v>
      </c>
      <c r="CV23">
        <v>5.5070735300023266E-2</v>
      </c>
      <c r="CW23">
        <v>1.2818728288250883E-2</v>
      </c>
      <c r="CX23">
        <v>4.3436928853687058E-2</v>
      </c>
      <c r="CY23">
        <v>7.3863214008917752E-2</v>
      </c>
      <c r="CZ23">
        <v>2.5000683579469798E-2</v>
      </c>
      <c r="DA23">
        <v>5.4638527584903021E-2</v>
      </c>
      <c r="DB23">
        <v>6.2435510550229523E-3</v>
      </c>
      <c r="DC23">
        <v>1.0084098213972333E-2</v>
      </c>
      <c r="DD23">
        <v>5.8487093027564255E-3</v>
      </c>
      <c r="DE23">
        <v>2.4369730921254513E-2</v>
      </c>
      <c r="DF23">
        <v>2.880104122099825E-2</v>
      </c>
      <c r="DG23">
        <v>1.8891460138041251E-2</v>
      </c>
      <c r="DH23">
        <v>4.036555737585279E-2</v>
      </c>
      <c r="DI23">
        <v>1.3832886470072149E-2</v>
      </c>
      <c r="DJ23">
        <v>3.1447900846200132E-2</v>
      </c>
      <c r="DK23">
        <v>2.2571105744473317E-2</v>
      </c>
      <c r="DL23">
        <v>3.7117966521402229E-2</v>
      </c>
      <c r="DM23">
        <v>2.9180037406010405E-2</v>
      </c>
      <c r="DN23">
        <v>3.4450332257169751E-2</v>
      </c>
      <c r="DO23">
        <v>0.17098388548311477</v>
      </c>
      <c r="DP23">
        <v>8.9001853107659873E-3</v>
      </c>
      <c r="DQ23">
        <v>6.2158163185039403E-2</v>
      </c>
      <c r="DR23">
        <v>2.8141102246514037E-3</v>
      </c>
      <c r="DS23">
        <v>2.2787182083919902E-2</v>
      </c>
      <c r="DT23">
        <v>1.9346246785830044E-2</v>
      </c>
      <c r="DU23">
        <v>2.8419508005430576E-2</v>
      </c>
      <c r="DV23">
        <v>4.5099228842875221E-3</v>
      </c>
      <c r="DW23">
        <v>3.6405055147194582E-2</v>
      </c>
      <c r="DX23">
        <v>5.7186745124537643E-3</v>
      </c>
      <c r="DY23">
        <v>4.1965033510089955E-2</v>
      </c>
      <c r="DZ23">
        <v>2.4456215031546026E-2</v>
      </c>
      <c r="EA23">
        <v>2.6929604047043171E-2</v>
      </c>
      <c r="EB23">
        <v>9.3825930053556637E-3</v>
      </c>
      <c r="EC23">
        <v>3.5537806338473643E-2</v>
      </c>
      <c r="ED23">
        <v>7.5823301049305842E-3</v>
      </c>
      <c r="EE23">
        <v>1.1408274545205441E-2</v>
      </c>
      <c r="EF23">
        <v>1.2381031707821143E-2</v>
      </c>
      <c r="EG23">
        <v>1.6614689453276054E-2</v>
      </c>
      <c r="EH23">
        <v>2.322470382751152E-2</v>
      </c>
      <c r="EI23">
        <v>1.2794032767104929E-2</v>
      </c>
      <c r="EJ23">
        <v>2.6458685192869711E-3</v>
      </c>
      <c r="EK23">
        <v>8.6833905300908704E-2</v>
      </c>
      <c r="EL23">
        <v>9.6369533793067355E-3</v>
      </c>
      <c r="EM23">
        <v>8.5639897723682745E-3</v>
      </c>
      <c r="EN23">
        <v>2.6829244558029132E-2</v>
      </c>
      <c r="EO23">
        <v>1.8290859506688871E-2</v>
      </c>
      <c r="EP23">
        <v>8.1906926618793251E-3</v>
      </c>
      <c r="EQ23">
        <v>2.9650188496148089E-2</v>
      </c>
      <c r="ER23">
        <v>6.240404498762922E-2</v>
      </c>
      <c r="ES23">
        <v>2.5843731102941921E-2</v>
      </c>
      <c r="ET23">
        <v>0.11172059191533805</v>
      </c>
      <c r="EU23">
        <v>3.8561000490896754E-3</v>
      </c>
      <c r="EV23">
        <v>2.5272187366703006E-2</v>
      </c>
      <c r="EW23">
        <v>2.7913383662422173E-2</v>
      </c>
      <c r="EX23">
        <v>5.3579653800876351E-3</v>
      </c>
      <c r="EY23">
        <v>2.904070974730643E-2</v>
      </c>
      <c r="EZ23">
        <v>1.8152418343979852E-2</v>
      </c>
      <c r="FA23">
        <v>9.7099832464446825E-3</v>
      </c>
      <c r="FB23">
        <v>6.6281375490431865E-2</v>
      </c>
      <c r="FC23">
        <v>4.4820623544588364E-2</v>
      </c>
      <c r="FD23">
        <v>4.0766183308892916E-2</v>
      </c>
      <c r="FE23">
        <v>2.3774696460881341E-2</v>
      </c>
      <c r="FF23">
        <v>3.6402409195425041E-2</v>
      </c>
      <c r="FG23">
        <v>2.223276622320414E-2</v>
      </c>
      <c r="FH23">
        <v>1.745454172877714E-2</v>
      </c>
      <c r="FI23">
        <v>4.5016255109988607E-2</v>
      </c>
      <c r="FJ23">
        <v>1.9817435182928255E-3</v>
      </c>
      <c r="FK23">
        <v>1.0491798823302867E-2</v>
      </c>
      <c r="FL23">
        <v>3.4729265479200855E-2</v>
      </c>
      <c r="FM23">
        <v>4.3959003350417601E-2</v>
      </c>
      <c r="FN23">
        <v>5.2264637682401659E-2</v>
      </c>
      <c r="FO23">
        <v>1.0137150406492228E-2</v>
      </c>
      <c r="FP23">
        <v>2.008902652228934E-2</v>
      </c>
      <c r="FQ23">
        <v>1.5806614056372664E-2</v>
      </c>
      <c r="FR23">
        <v>7.4184706626743813E-2</v>
      </c>
      <c r="FS23">
        <v>3.4236705827484032E-2</v>
      </c>
      <c r="FT23">
        <v>3.3738991850865971E-2</v>
      </c>
      <c r="FU23">
        <v>5.5016924782012908E-2</v>
      </c>
      <c r="FV23">
        <v>2.6675897844188393E-2</v>
      </c>
      <c r="FW23">
        <v>6.5477654198236382E-2</v>
      </c>
      <c r="FX23">
        <v>1.4365258848411352E-2</v>
      </c>
      <c r="FY23">
        <v>1.2325371209106243E-2</v>
      </c>
      <c r="FZ23">
        <v>3.5564996511698567E-2</v>
      </c>
      <c r="GA23">
        <v>3.7543623301815862E-2</v>
      </c>
      <c r="GB23">
        <v>7.2695254384807072E-3</v>
      </c>
      <c r="GC23">
        <v>6.4693083936479823E-2</v>
      </c>
      <c r="GD23">
        <v>8.5768753254058441E-3</v>
      </c>
      <c r="GE23">
        <v>5.0027854580137539E-2</v>
      </c>
      <c r="GF23">
        <v>4.9907082575940356E-2</v>
      </c>
      <c r="GG23">
        <v>4.5027311819997293E-2</v>
      </c>
      <c r="GH23">
        <v>1.5897729907317377E-2</v>
      </c>
      <c r="GI23">
        <v>1.7195138779603707E-2</v>
      </c>
      <c r="GJ23">
        <v>2.2969862064331738E-2</v>
      </c>
      <c r="GK23">
        <v>2.3887676156607453E-2</v>
      </c>
      <c r="GL23">
        <v>1.1419463233882298E-2</v>
      </c>
      <c r="GM23">
        <v>5.9031257506694263E-3</v>
      </c>
      <c r="GN23">
        <v>8.5584911935627454E-3</v>
      </c>
      <c r="GO23">
        <v>1.3340376091796575E-2</v>
      </c>
      <c r="GP23">
        <v>2.5575179345315103E-2</v>
      </c>
      <c r="GQ23">
        <v>3.1040819788394819E-2</v>
      </c>
      <c r="GR23">
        <v>2.8887762424173933E-2</v>
      </c>
      <c r="GS23">
        <v>1.2729189325340874E-2</v>
      </c>
      <c r="GT23">
        <v>6.3063980146341172E-3</v>
      </c>
      <c r="GU23">
        <v>1.1408510840454317E-2</v>
      </c>
      <c r="GV23">
        <v>1.6457602687402716E-2</v>
      </c>
      <c r="GW23">
        <v>8.5326492189194275E-3</v>
      </c>
      <c r="GX23">
        <v>8.3262818299150221E-2</v>
      </c>
      <c r="GY23">
        <v>3.5264480434700997E-3</v>
      </c>
      <c r="GZ23">
        <v>5.4193830954293448E-3</v>
      </c>
      <c r="HA23">
        <v>5.1110896454907795E-2</v>
      </c>
      <c r="HB23">
        <v>3.9766159151539228E-2</v>
      </c>
      <c r="HC23">
        <v>2.7624283879882739E-2</v>
      </c>
      <c r="HD23">
        <v>3.4127165430332312E-2</v>
      </c>
      <c r="HE23">
        <v>1.7963514106226191E-2</v>
      </c>
      <c r="HF23">
        <v>5.9683745619024918E-3</v>
      </c>
      <c r="HG23">
        <v>3.9442859445996334E-2</v>
      </c>
      <c r="HH23">
        <v>2.7992237759125498E-2</v>
      </c>
      <c r="HI23">
        <v>4.5457506686743726E-2</v>
      </c>
      <c r="HJ23">
        <v>8.8273698858014164E-3</v>
      </c>
      <c r="HK23">
        <v>5.8944623029985717E-2</v>
      </c>
      <c r="HL23">
        <v>7.0990825722546313E-3</v>
      </c>
      <c r="HM23">
        <v>2.175522342213863E-2</v>
      </c>
      <c r="HN23">
        <v>4.8477776326575309E-2</v>
      </c>
      <c r="HO23">
        <v>2.1946747980328803E-2</v>
      </c>
      <c r="HP23">
        <v>5.1063698600044685E-2</v>
      </c>
      <c r="HQ23">
        <v>1.9593643378405561E-2</v>
      </c>
      <c r="HR23">
        <v>3.8748547903431151E-2</v>
      </c>
      <c r="HS23">
        <v>2.1885511354913862E-2</v>
      </c>
      <c r="HT23">
        <v>6.9140416724924594E-3</v>
      </c>
      <c r="HU23">
        <v>3.3937530120987491E-2</v>
      </c>
      <c r="HV23">
        <v>2.2029149547789055E-2</v>
      </c>
      <c r="HW23">
        <v>1.0507529239345632E-2</v>
      </c>
      <c r="HX23">
        <v>1.0579418435560527E-2</v>
      </c>
      <c r="HY23">
        <v>8.0363768854566624E-3</v>
      </c>
      <c r="HZ23">
        <v>7.5583339480712703E-3</v>
      </c>
      <c r="IA23">
        <v>7.8771053555996007E-2</v>
      </c>
      <c r="IB23">
        <v>5.6781367480109122E-3</v>
      </c>
      <c r="IC23">
        <v>6.5496684061752382E-3</v>
      </c>
      <c r="ID23">
        <v>3.9150682997492532E-2</v>
      </c>
      <c r="IE23">
        <v>5.8907322488585087E-2</v>
      </c>
      <c r="IF23">
        <v>5.0673233907163238E-2</v>
      </c>
      <c r="IG23">
        <v>1.5617713520555541E-2</v>
      </c>
      <c r="IH23">
        <v>5.0917568029501797E-3</v>
      </c>
      <c r="II23">
        <v>1.1715411605144818E-2</v>
      </c>
      <c r="IJ23">
        <v>3.0198619516734894E-2</v>
      </c>
      <c r="IK23">
        <v>1.045270975675083E-2</v>
      </c>
      <c r="IL23">
        <v>1.2942413972963453E-2</v>
      </c>
      <c r="IM23">
        <v>3.491868992124196E-2</v>
      </c>
      <c r="IN23">
        <v>3.4122708245249114E-2</v>
      </c>
      <c r="IO23">
        <v>1.1215737806295777E-2</v>
      </c>
    </row>
    <row r="24" spans="5:249" x14ac:dyDescent="0.15">
      <c r="E24">
        <v>2.9863338289740863E-2</v>
      </c>
      <c r="F24">
        <v>7.2635156328818733E-4</v>
      </c>
      <c r="J24" s="17">
        <v>6.329108387425314E-2</v>
      </c>
      <c r="K24" s="17">
        <v>6.9606080260150799E-3</v>
      </c>
      <c r="L24" s="17">
        <v>3.9655967337391324E-2</v>
      </c>
      <c r="M24" s="17">
        <v>0.16513773012882413</v>
      </c>
      <c r="N24" s="17">
        <v>2.5851462353205956E-2</v>
      </c>
      <c r="O24" s="17">
        <v>2.3186506416364987E-2</v>
      </c>
      <c r="P24" s="17">
        <v>7.6299777300529725E-2</v>
      </c>
      <c r="Q24" s="17">
        <v>1.6557590140044903E-2</v>
      </c>
      <c r="R24" s="17">
        <v>1.0669499027588056E-2</v>
      </c>
      <c r="S24" s="17">
        <v>1.9816899439828263E-2</v>
      </c>
      <c r="T24">
        <v>2.2469211848716725E-2</v>
      </c>
      <c r="U24">
        <v>1.5347091326641931E-2</v>
      </c>
      <c r="V24">
        <v>1.4231106099161889E-2</v>
      </c>
      <c r="W24">
        <v>1.2582028160795627E-2</v>
      </c>
      <c r="X24">
        <v>1.3797333368371922E-2</v>
      </c>
      <c r="Y24">
        <v>2.7817165500201718E-2</v>
      </c>
      <c r="Z24">
        <v>2.9852171556313339E-3</v>
      </c>
      <c r="AA24">
        <v>2.0947383200553629E-2</v>
      </c>
      <c r="AB24">
        <v>5.6399995763149226E-2</v>
      </c>
      <c r="AC24">
        <v>8.1525792764353591E-3</v>
      </c>
      <c r="AD24">
        <v>1.940414443373888E-2</v>
      </c>
      <c r="AE24">
        <v>5.8968397336310097E-2</v>
      </c>
      <c r="AF24">
        <v>5.4619968350676763E-2</v>
      </c>
      <c r="AG24">
        <v>6.1188751896245168E-3</v>
      </c>
      <c r="AH24">
        <v>3.7761925740727738E-2</v>
      </c>
      <c r="AI24">
        <v>3.8541212125710309E-2</v>
      </c>
      <c r="AJ24">
        <v>3.2660087827448565E-2</v>
      </c>
      <c r="AK24">
        <v>5.8454674977741018E-2</v>
      </c>
      <c r="AL24">
        <v>1.909524519944137E-2</v>
      </c>
      <c r="AM24">
        <v>1.1912344398236484E-2</v>
      </c>
      <c r="AN24">
        <v>4.0776439715264817E-2</v>
      </c>
      <c r="AO24">
        <v>2.3466836506715678E-2</v>
      </c>
      <c r="AP24">
        <v>4.6635124466950766E-3</v>
      </c>
      <c r="AQ24">
        <v>3.5212775153267081E-2</v>
      </c>
      <c r="AR24">
        <v>6.9165079400127338E-2</v>
      </c>
      <c r="AS24">
        <v>7.7645101727270724E-2</v>
      </c>
      <c r="AT24">
        <v>9.0560610776288554E-3</v>
      </c>
      <c r="AU24">
        <v>1.2764083684477496E-2</v>
      </c>
      <c r="AV24">
        <v>4.3261075982190471E-2</v>
      </c>
      <c r="AW24">
        <v>7.3468593550501837E-2</v>
      </c>
      <c r="AX24">
        <v>2.6660709557879813E-2</v>
      </c>
      <c r="AY24">
        <v>7.6613505745740232E-2</v>
      </c>
      <c r="AZ24">
        <v>1.3274530930108202E-2</v>
      </c>
      <c r="BA24">
        <v>6.667765065582202E-3</v>
      </c>
      <c r="BB24">
        <v>1.0018088185822543E-2</v>
      </c>
      <c r="BC24">
        <v>4.1345778733134574E-2</v>
      </c>
      <c r="BD24">
        <v>1.3839501818478634E-2</v>
      </c>
      <c r="BE24">
        <v>4.780184783770941E-2</v>
      </c>
      <c r="BF24">
        <v>2.3830688387742258E-2</v>
      </c>
      <c r="BG24">
        <v>9.7228144107043168E-2</v>
      </c>
      <c r="BH24">
        <v>1.155771797478871E-2</v>
      </c>
      <c r="BI24">
        <v>3.0068798049519379E-2</v>
      </c>
      <c r="BJ24">
        <v>4.4345720487777601E-2</v>
      </c>
      <c r="BK24">
        <v>2.4413175484773415E-2</v>
      </c>
      <c r="BL24">
        <v>1.6191382007850398E-2</v>
      </c>
      <c r="BM24">
        <v>5.997023566274659E-2</v>
      </c>
      <c r="BN24">
        <v>2.736734225125249E-2</v>
      </c>
      <c r="BO24">
        <v>6.299822658650979E-2</v>
      </c>
      <c r="BP24">
        <v>1.6305560387834275E-2</v>
      </c>
      <c r="BQ24">
        <v>2.6659657607210948E-2</v>
      </c>
      <c r="BR24">
        <v>5.6772567953141145E-2</v>
      </c>
      <c r="BS24">
        <v>1.840152450842714E-2</v>
      </c>
      <c r="BT24">
        <v>2.0956128105743804E-2</v>
      </c>
      <c r="BU24">
        <v>2.9201245946710594E-3</v>
      </c>
      <c r="BV24">
        <v>3.337927876854524E-2</v>
      </c>
      <c r="BW24">
        <v>1.4090197624627494E-2</v>
      </c>
      <c r="BX24">
        <v>1.0223246994144905E-2</v>
      </c>
      <c r="BY24">
        <v>6.5545923579056725E-2</v>
      </c>
      <c r="BZ24">
        <v>0.18650052270123299</v>
      </c>
      <c r="CA24">
        <v>5.2795199099933986E-2</v>
      </c>
      <c r="CB24">
        <v>1.6242565478891635E-2</v>
      </c>
      <c r="CC24">
        <v>2.7576105933380238E-2</v>
      </c>
      <c r="CD24">
        <v>2.1835161597806751E-2</v>
      </c>
      <c r="CE24">
        <v>1.6570938543721225E-2</v>
      </c>
      <c r="CF24">
        <v>8.6036401426350079E-2</v>
      </c>
      <c r="CG24">
        <v>4.9411121012697706E-2</v>
      </c>
      <c r="CH24">
        <v>1.4191243192690044E-2</v>
      </c>
      <c r="CI24">
        <v>1.2134718216405752E-2</v>
      </c>
      <c r="CJ24">
        <v>4.1895192923931575E-2</v>
      </c>
      <c r="CK24">
        <v>1.6688297419030083E-2</v>
      </c>
      <c r="CL24">
        <v>7.8541553465677205E-3</v>
      </c>
      <c r="CM24">
        <v>6.6754269951249581E-3</v>
      </c>
      <c r="CN24">
        <v>4.4895015575404991E-2</v>
      </c>
      <c r="CO24">
        <v>4.0000087324702435E-2</v>
      </c>
      <c r="CP24">
        <v>5.6979260514648564E-2</v>
      </c>
      <c r="CQ24">
        <v>1.9037003234823442E-2</v>
      </c>
      <c r="CR24">
        <v>1.0605696225646796E-2</v>
      </c>
      <c r="CS24">
        <v>7.9828088947925518E-3</v>
      </c>
      <c r="CT24">
        <v>3.4718442702415309E-2</v>
      </c>
      <c r="CU24">
        <v>1.728844392851217E-2</v>
      </c>
      <c r="CV24">
        <v>3.4421230046020934E-2</v>
      </c>
      <c r="CW24">
        <v>1.9055348017825574E-2</v>
      </c>
      <c r="CX24">
        <v>3.9092937524775481E-2</v>
      </c>
      <c r="CY24">
        <v>9.7164670532440142E-2</v>
      </c>
      <c r="CZ24">
        <v>2.2597477073325756E-2</v>
      </c>
      <c r="DA24">
        <v>5.1078642029457916E-2</v>
      </c>
      <c r="DB24">
        <v>6.3835102930725179E-3</v>
      </c>
      <c r="DC24">
        <v>8.5949340714987447E-3</v>
      </c>
      <c r="DD24">
        <v>4.9692138509805066E-3</v>
      </c>
      <c r="DE24">
        <v>2.7109979053137116E-2</v>
      </c>
      <c r="DF24">
        <v>3.2953735708297759E-2</v>
      </c>
      <c r="DG24">
        <v>1.4479980902681702E-2</v>
      </c>
      <c r="DH24">
        <v>4.1365917154558181E-2</v>
      </c>
      <c r="DI24">
        <v>1.9022415860226675E-2</v>
      </c>
      <c r="DJ24">
        <v>3.0372772527137288E-2</v>
      </c>
      <c r="DK24">
        <v>1.972882427048352E-2</v>
      </c>
      <c r="DL24">
        <v>2.053348399742521E-2</v>
      </c>
      <c r="DM24">
        <v>3.1213010457048388E-2</v>
      </c>
      <c r="DN24">
        <v>2.5288908045432074E-2</v>
      </c>
      <c r="DO24">
        <v>0.20813070836694297</v>
      </c>
      <c r="DP24">
        <v>1.0155525893741975E-2</v>
      </c>
      <c r="DQ24">
        <v>5.2439026244286153E-2</v>
      </c>
      <c r="DR24">
        <v>2.801978373837566E-3</v>
      </c>
      <c r="DS24">
        <v>2.1000236400839003E-2</v>
      </c>
      <c r="DT24">
        <v>2.4567529852265051E-2</v>
      </c>
      <c r="DU24">
        <v>2.9580108044896285E-2</v>
      </c>
      <c r="DV24">
        <v>4.1817160637486629E-3</v>
      </c>
      <c r="DW24">
        <v>4.0096697062822234E-2</v>
      </c>
      <c r="DX24">
        <v>6.3413684369418785E-3</v>
      </c>
      <c r="DY24">
        <v>3.9355182312337228E-2</v>
      </c>
      <c r="DZ24">
        <v>3.8466959571167074E-2</v>
      </c>
      <c r="EA24">
        <v>2.3491487118341366E-2</v>
      </c>
      <c r="EB24">
        <v>1.0196005628774334E-2</v>
      </c>
      <c r="EC24">
        <v>3.6930935679191569E-2</v>
      </c>
      <c r="ED24">
        <v>5.3112803938662042E-3</v>
      </c>
      <c r="EE24">
        <v>1.4465820833426707E-2</v>
      </c>
      <c r="EF24">
        <v>1.1240411307766273E-2</v>
      </c>
      <c r="EG24">
        <v>1.0747638071109834E-2</v>
      </c>
      <c r="EH24">
        <v>1.6536952132795754E-2</v>
      </c>
      <c r="EI24">
        <v>1.5495614478145008E-2</v>
      </c>
      <c r="EJ24">
        <v>2.4062250566600123E-3</v>
      </c>
      <c r="EK24">
        <v>5.195528902137686E-2</v>
      </c>
      <c r="EL24">
        <v>1.0308920470037347E-2</v>
      </c>
      <c r="EM24">
        <v>8.1328339112710802E-3</v>
      </c>
      <c r="EN24">
        <v>2.6934321389351135E-2</v>
      </c>
      <c r="EO24">
        <v>1.486228682627262E-2</v>
      </c>
      <c r="EP24">
        <v>9.9320311455448826E-3</v>
      </c>
      <c r="EQ24">
        <v>2.9066035699390449E-2</v>
      </c>
      <c r="ER24">
        <v>6.9502586728768564E-2</v>
      </c>
      <c r="ES24">
        <v>2.3836883981270422E-2</v>
      </c>
      <c r="ET24">
        <v>9.5135553483295915E-2</v>
      </c>
      <c r="EU24">
        <v>3.2983327760806157E-3</v>
      </c>
      <c r="EV24">
        <v>2.068511090923647E-2</v>
      </c>
      <c r="EW24">
        <v>2.8412103868857425E-2</v>
      </c>
      <c r="EX24">
        <v>3.328007573571717E-3</v>
      </c>
      <c r="EY24">
        <v>2.3197825301399699E-2</v>
      </c>
      <c r="EZ24">
        <v>2.0458738032857644E-2</v>
      </c>
      <c r="FA24">
        <v>1.3332059373288479E-2</v>
      </c>
      <c r="FB24">
        <v>4.3705711168795347E-2</v>
      </c>
      <c r="FC24">
        <v>5.9864855812019481E-2</v>
      </c>
      <c r="FD24">
        <v>3.9194408926590513E-2</v>
      </c>
      <c r="FE24">
        <v>2.6935684476190148E-2</v>
      </c>
      <c r="FF24">
        <v>2.940336177036498E-2</v>
      </c>
      <c r="FG24">
        <v>2.0685658045652908E-2</v>
      </c>
      <c r="FH24">
        <v>2.6431075328567498E-2</v>
      </c>
      <c r="FI24">
        <v>6.7113169269570769E-2</v>
      </c>
      <c r="FJ24">
        <v>2.2627899893343196E-3</v>
      </c>
      <c r="FK24">
        <v>1.2112821457840445E-2</v>
      </c>
      <c r="FL24">
        <v>3.6074713124378696E-2</v>
      </c>
      <c r="FM24">
        <v>6.0582325837048812E-2</v>
      </c>
      <c r="FN24">
        <v>5.6057509097357495E-2</v>
      </c>
      <c r="FO24">
        <v>5.9172680644566803E-3</v>
      </c>
      <c r="FP24">
        <v>1.9969706528644993E-2</v>
      </c>
      <c r="FQ24">
        <v>1.769682727211877E-2</v>
      </c>
      <c r="FR24">
        <v>5.7753223209651615E-2</v>
      </c>
      <c r="FS24">
        <v>2.1704101525555138E-2</v>
      </c>
      <c r="FT24">
        <v>4.0132729536365576E-2</v>
      </c>
      <c r="FU24">
        <v>6.3299140660904044E-2</v>
      </c>
      <c r="FV24">
        <v>2.3552467252603317E-2</v>
      </c>
      <c r="FW24">
        <v>4.5947349923939812E-2</v>
      </c>
      <c r="FX24">
        <v>1.2836592337519232E-2</v>
      </c>
      <c r="FY24">
        <v>1.3390944380831431E-2</v>
      </c>
      <c r="FZ24">
        <v>3.5447902199130348E-2</v>
      </c>
      <c r="GA24">
        <v>3.9244872163566098E-2</v>
      </c>
      <c r="GB24">
        <v>7.8651755063175559E-3</v>
      </c>
      <c r="GC24">
        <v>5.2824775847687543E-2</v>
      </c>
      <c r="GD24">
        <v>1.080420145974152E-2</v>
      </c>
      <c r="GE24">
        <v>4.9108503259826346E-2</v>
      </c>
      <c r="GF24">
        <v>3.3889618729903703E-2</v>
      </c>
      <c r="GG24">
        <v>4.900839911942638E-2</v>
      </c>
      <c r="GH24">
        <v>1.2725297926130606E-2</v>
      </c>
      <c r="GI24">
        <v>1.566495376519992E-2</v>
      </c>
      <c r="GJ24">
        <v>2.2724519414770217E-2</v>
      </c>
      <c r="GK24">
        <v>3.1258262475772458E-2</v>
      </c>
      <c r="GL24">
        <v>1.15343588685278E-2</v>
      </c>
      <c r="GM24">
        <v>5.7429493079016744E-3</v>
      </c>
      <c r="GN24">
        <v>1.2135958700017196E-2</v>
      </c>
      <c r="GO24">
        <v>2.1540122845012204E-2</v>
      </c>
      <c r="GP24">
        <v>2.5012324573431177E-2</v>
      </c>
      <c r="GQ24">
        <v>2.896668044172708E-2</v>
      </c>
      <c r="GR24">
        <v>2.7744778293366999E-2</v>
      </c>
      <c r="GS24">
        <v>1.3933213099908573E-2</v>
      </c>
      <c r="GT24">
        <v>8.1202866403041734E-3</v>
      </c>
      <c r="GU24">
        <v>1.4165021541721706E-2</v>
      </c>
      <c r="GV24">
        <v>1.5790525646593841E-2</v>
      </c>
      <c r="GW24">
        <v>7.5994875154922932E-3</v>
      </c>
      <c r="GX24">
        <v>7.294701763479762E-2</v>
      </c>
      <c r="GY24">
        <v>3.4228089910545443E-3</v>
      </c>
      <c r="GZ24">
        <v>3.9029439751880621E-3</v>
      </c>
      <c r="HA24">
        <v>3.408413742672603E-2</v>
      </c>
      <c r="HB24">
        <v>5.3105283502847683E-2</v>
      </c>
      <c r="HC24">
        <v>2.6283066981441099E-2</v>
      </c>
      <c r="HD24">
        <v>2.2737089119002359E-2</v>
      </c>
      <c r="HE24">
        <v>1.5359650804146393E-2</v>
      </c>
      <c r="HF24">
        <v>6.4975357505965784E-3</v>
      </c>
      <c r="HG24">
        <v>3.5845168714289236E-2</v>
      </c>
      <c r="HH24">
        <v>3.2413960459421541E-2</v>
      </c>
      <c r="HI24">
        <v>5.1575205020299539E-2</v>
      </c>
      <c r="HJ24">
        <v>6.0070263895142702E-3</v>
      </c>
      <c r="HK24">
        <v>7.5816556090054665E-2</v>
      </c>
      <c r="HL24">
        <v>9.7579746315732564E-3</v>
      </c>
      <c r="HM24">
        <v>1.8983942045198193E-2</v>
      </c>
      <c r="HN24">
        <v>3.9599668369083747E-2</v>
      </c>
      <c r="HO24">
        <v>1.7142020828930286E-2</v>
      </c>
      <c r="HP24">
        <v>4.1001201226494567E-2</v>
      </c>
      <c r="HQ24">
        <v>1.4602323586053892E-2</v>
      </c>
      <c r="HR24">
        <v>3.1976986540774528E-2</v>
      </c>
      <c r="HS24">
        <v>1.8218638111339423E-2</v>
      </c>
      <c r="HT24">
        <v>5.9616668535459371E-3</v>
      </c>
      <c r="HU24">
        <v>4.335467111720219E-2</v>
      </c>
      <c r="HV24">
        <v>2.3241626474426662E-2</v>
      </c>
      <c r="HW24">
        <v>1.3303720293401624E-2</v>
      </c>
      <c r="HX24">
        <v>7.4640880666529416E-3</v>
      </c>
      <c r="HY24">
        <v>9.8474673560668673E-3</v>
      </c>
      <c r="HZ24">
        <v>1.076347449969171E-2</v>
      </c>
      <c r="IA24">
        <v>6.2548123776179104E-2</v>
      </c>
      <c r="IB24">
        <v>5.0867386141531185E-3</v>
      </c>
      <c r="IC24">
        <v>5.4015498774399777E-3</v>
      </c>
      <c r="ID24">
        <v>3.7560414914476335E-2</v>
      </c>
      <c r="IE24">
        <v>7.5552875604261174E-2</v>
      </c>
      <c r="IF24">
        <v>5.0794606880200606E-2</v>
      </c>
      <c r="IG24">
        <v>1.2331678433492125E-2</v>
      </c>
      <c r="IH24">
        <v>4.1310308834047746E-3</v>
      </c>
      <c r="II24">
        <v>1.497252771748196E-2</v>
      </c>
      <c r="IJ24">
        <v>2.3511445666073848E-2</v>
      </c>
      <c r="IK24">
        <v>1.4421017396312781E-2</v>
      </c>
      <c r="IL24">
        <v>1.4589362972717412E-2</v>
      </c>
      <c r="IM24">
        <v>3.021795270945038E-2</v>
      </c>
      <c r="IN24">
        <v>3.0899008159946065E-2</v>
      </c>
      <c r="IO24">
        <v>6.210143648947614E-3</v>
      </c>
    </row>
    <row r="25" spans="5:249" x14ac:dyDescent="0.15">
      <c r="E25">
        <v>2.9964701553122655E-2</v>
      </c>
      <c r="F25">
        <v>8.7250602253001572E-4</v>
      </c>
      <c r="J25" s="17">
        <v>7.3662589875359077E-2</v>
      </c>
      <c r="K25" s="17">
        <v>6.8366144993015129E-3</v>
      </c>
      <c r="L25" s="17">
        <v>3.1736211136721496E-2</v>
      </c>
      <c r="M25" s="17">
        <v>0.19223949904375659</v>
      </c>
      <c r="N25" s="17">
        <v>2.8728937394604529E-2</v>
      </c>
      <c r="O25" s="17">
        <v>2.0225357175204451E-2</v>
      </c>
      <c r="P25" s="17">
        <v>6.6540295993979773E-2</v>
      </c>
      <c r="Q25" s="17">
        <v>1.9567066701432018E-2</v>
      </c>
      <c r="R25" s="17">
        <v>1.064822585970975E-2</v>
      </c>
      <c r="S25" s="17">
        <v>1.744121017279579E-2</v>
      </c>
      <c r="T25">
        <v>9.9914109475092959E-3</v>
      </c>
      <c r="U25">
        <v>1.9832981327669662E-2</v>
      </c>
      <c r="V25">
        <v>1.3905351265954588E-2</v>
      </c>
      <c r="W25">
        <v>1.2597845415856328E-2</v>
      </c>
      <c r="X25">
        <v>1.6426213936450166E-2</v>
      </c>
      <c r="Y25">
        <v>3.1586429971006517E-2</v>
      </c>
      <c r="Z25">
        <v>4.5504070285021054E-3</v>
      </c>
      <c r="AA25">
        <v>1.9023935988265964E-2</v>
      </c>
      <c r="AB25">
        <v>4.6934953595377402E-2</v>
      </c>
      <c r="AC25">
        <v>7.2279971338924647E-3</v>
      </c>
      <c r="AD25">
        <v>1.9507732387691538E-2</v>
      </c>
      <c r="AE25">
        <v>5.1112890084355732E-2</v>
      </c>
      <c r="AF25">
        <v>7.8352421217194781E-2</v>
      </c>
      <c r="AG25">
        <v>7.7337834848759486E-3</v>
      </c>
      <c r="AH25">
        <v>3.4796978686658465E-2</v>
      </c>
      <c r="AI25">
        <v>3.6719205553717681E-2</v>
      </c>
      <c r="AJ25">
        <v>4.446896202660798E-2</v>
      </c>
      <c r="AK25">
        <v>6.6593576411457314E-2</v>
      </c>
      <c r="AL25">
        <v>1.4992740688871298E-2</v>
      </c>
      <c r="AM25">
        <v>1.0778109105126034E-2</v>
      </c>
      <c r="AN25">
        <v>3.0542278711228648E-2</v>
      </c>
      <c r="AO25">
        <v>2.1153519840751082E-2</v>
      </c>
      <c r="AP25">
        <v>4.3065271234238468E-3</v>
      </c>
      <c r="AQ25">
        <v>3.7417480255048166E-2</v>
      </c>
      <c r="AR25">
        <v>7.0318903208678007E-2</v>
      </c>
      <c r="AS25">
        <v>6.9838420446851041E-2</v>
      </c>
      <c r="AT25">
        <v>1.0746392628484267E-2</v>
      </c>
      <c r="AU25">
        <v>1.221133177674167E-2</v>
      </c>
      <c r="AV25">
        <v>4.6035208526654034E-2</v>
      </c>
      <c r="AW25">
        <v>8.7930367911248405E-2</v>
      </c>
      <c r="AX25">
        <v>2.6198816968975521E-2</v>
      </c>
      <c r="AY25">
        <v>7.4766613383445424E-2</v>
      </c>
      <c r="AZ25">
        <v>1.6650044956388617E-2</v>
      </c>
      <c r="BA25">
        <v>9.7162351860145095E-3</v>
      </c>
      <c r="BB25">
        <v>7.9604941908454005E-3</v>
      </c>
      <c r="BC25">
        <v>3.8687459524214249E-2</v>
      </c>
      <c r="BD25">
        <v>1.2463878678923743E-2</v>
      </c>
      <c r="BE25">
        <v>3.2128081217907889E-2</v>
      </c>
      <c r="BF25">
        <v>1.9233174973017145E-2</v>
      </c>
      <c r="BG25">
        <v>8.8111695449853922E-2</v>
      </c>
      <c r="BH25">
        <v>1.1462074930029724E-2</v>
      </c>
      <c r="BI25">
        <v>2.0252759930508492E-2</v>
      </c>
      <c r="BJ25">
        <v>4.1167994799118729E-2</v>
      </c>
      <c r="BK25">
        <v>1.9689116023014392E-2</v>
      </c>
      <c r="BL25">
        <v>1.7827475745596375E-2</v>
      </c>
      <c r="BM25">
        <v>5.4846889055961669E-2</v>
      </c>
      <c r="BN25">
        <v>2.9465220938420782E-2</v>
      </c>
      <c r="BO25">
        <v>4.5367145076268857E-2</v>
      </c>
      <c r="BP25">
        <v>1.6185552975510272E-2</v>
      </c>
      <c r="BQ25">
        <v>3.4946579127464447E-2</v>
      </c>
      <c r="BR25">
        <v>6.0821180801381554E-2</v>
      </c>
      <c r="BS25">
        <v>1.9588595176619084E-2</v>
      </c>
      <c r="BT25">
        <v>2.1561928273376642E-2</v>
      </c>
      <c r="BU25">
        <v>2.66758137644594E-3</v>
      </c>
      <c r="BV25">
        <v>2.0821668251902362E-2</v>
      </c>
      <c r="BW25">
        <v>1.9155963813297597E-2</v>
      </c>
      <c r="BX25">
        <v>1.1369866468371978E-2</v>
      </c>
      <c r="BY25">
        <v>4.9565373337950892E-2</v>
      </c>
      <c r="BZ25">
        <v>0.20896265208619511</v>
      </c>
      <c r="CA25">
        <v>4.457592979798547E-2</v>
      </c>
      <c r="CB25">
        <v>1.5610824251207498E-2</v>
      </c>
      <c r="CC25">
        <v>1.6720540010611389E-2</v>
      </c>
      <c r="CD25">
        <v>2.244115253939085E-2</v>
      </c>
      <c r="CE25">
        <v>1.4217584874937459E-2</v>
      </c>
      <c r="CF25">
        <v>8.9039652672548639E-2</v>
      </c>
      <c r="CG25">
        <v>4.3563944910708738E-2</v>
      </c>
      <c r="CH25">
        <v>1.3996135194343938E-2</v>
      </c>
      <c r="CI25">
        <v>1.0814027389635383E-2</v>
      </c>
      <c r="CJ25">
        <v>3.1346825059293142E-2</v>
      </c>
      <c r="CK25">
        <v>2.1389243859845947E-2</v>
      </c>
      <c r="CL25">
        <v>9.0578863092882628E-3</v>
      </c>
      <c r="CM25">
        <v>6.5871164460838908E-3</v>
      </c>
      <c r="CN25">
        <v>5.2341497716072313E-2</v>
      </c>
      <c r="CO25">
        <v>3.0591074999648429E-2</v>
      </c>
      <c r="CP25">
        <v>4.0127289512183875E-2</v>
      </c>
      <c r="CQ25">
        <v>2.2761423708591917E-2</v>
      </c>
      <c r="CR25">
        <v>1.1803718978496358E-2</v>
      </c>
      <c r="CS25">
        <v>7.5162582779585325E-3</v>
      </c>
      <c r="CT25">
        <v>4.5990524329225221E-2</v>
      </c>
      <c r="CU25">
        <v>2.2648206990437663E-2</v>
      </c>
      <c r="CV25">
        <v>2.4679159641026342E-2</v>
      </c>
      <c r="CW25">
        <v>2.4415116392618438E-2</v>
      </c>
      <c r="CX25">
        <v>3.0561558912420267E-2</v>
      </c>
      <c r="CY25">
        <v>0.11586243932862386</v>
      </c>
      <c r="CZ25">
        <v>3.0190773926144669E-2</v>
      </c>
      <c r="DA25">
        <v>3.9916412088711363E-2</v>
      </c>
      <c r="DB25">
        <v>5.3858396886650485E-3</v>
      </c>
      <c r="DC25">
        <v>8.5122805019570581E-3</v>
      </c>
      <c r="DD25">
        <v>5.5660303838764432E-3</v>
      </c>
      <c r="DE25">
        <v>2.1605701531484368E-2</v>
      </c>
      <c r="DF25">
        <v>4.5758806878400601E-2</v>
      </c>
      <c r="DG25">
        <v>1.2145969937721969E-2</v>
      </c>
      <c r="DH25">
        <v>4.3028732628008597E-2</v>
      </c>
      <c r="DI25">
        <v>9.6988237538035392E-3</v>
      </c>
      <c r="DJ25">
        <v>2.6308958753326863E-2</v>
      </c>
      <c r="DK25">
        <v>1.88897099650512E-2</v>
      </c>
      <c r="DL25">
        <v>1.945187545422724E-2</v>
      </c>
      <c r="DM25">
        <v>3.2779784618533744E-2</v>
      </c>
      <c r="DN25">
        <v>2.9929884978191948E-2</v>
      </c>
      <c r="DO25">
        <v>0.22895465181412672</v>
      </c>
      <c r="DP25">
        <v>1.6204246178540781E-2</v>
      </c>
      <c r="DQ25">
        <v>5.2642802203988856E-2</v>
      </c>
      <c r="DR25">
        <v>2.5990561777792832E-3</v>
      </c>
      <c r="DS25">
        <v>2.2166793722795557E-2</v>
      </c>
      <c r="DT25">
        <v>2.3927082979128499E-2</v>
      </c>
      <c r="DU25">
        <v>2.6396513657755877E-2</v>
      </c>
      <c r="DV25">
        <v>5.1067885957315875E-3</v>
      </c>
      <c r="DW25">
        <v>2.3480983908964807E-2</v>
      </c>
      <c r="DX25">
        <v>5.5936814270530193E-3</v>
      </c>
      <c r="DY25">
        <v>3.6157528521279181E-2</v>
      </c>
      <c r="DZ25">
        <v>4.1842459697272703E-2</v>
      </c>
      <c r="EA25">
        <v>1.6138306382713654E-2</v>
      </c>
      <c r="EB25">
        <v>1.3295525966335004E-2</v>
      </c>
      <c r="EC25">
        <v>5.6552981175965418E-2</v>
      </c>
      <c r="ED25">
        <v>4.0845258989918821E-3</v>
      </c>
      <c r="EE25">
        <v>1.4499714741485313E-2</v>
      </c>
      <c r="EF25">
        <v>1.2883423528034139E-2</v>
      </c>
      <c r="EG25">
        <v>1.0959296008667987E-2</v>
      </c>
      <c r="EH25">
        <v>1.5182864977136773E-2</v>
      </c>
      <c r="EI25">
        <v>1.0213850157847504E-2</v>
      </c>
      <c r="EJ25">
        <v>2.6986440407432734E-3</v>
      </c>
      <c r="EK25">
        <v>7.3514786606635518E-2</v>
      </c>
      <c r="EL25">
        <v>9.1770899940832543E-3</v>
      </c>
      <c r="EM25">
        <v>6.6471883981712079E-3</v>
      </c>
      <c r="EN25">
        <v>2.0455640610414126E-2</v>
      </c>
      <c r="EO25">
        <v>1.344240838015053E-2</v>
      </c>
      <c r="EP25">
        <v>8.9682278030534749E-3</v>
      </c>
      <c r="EQ25">
        <v>3.1228551186738267E-2</v>
      </c>
      <c r="ER25">
        <v>7.2981776089917849E-2</v>
      </c>
      <c r="ES25">
        <v>1.8324179558048791E-2</v>
      </c>
      <c r="ET25">
        <v>0.10143294643445111</v>
      </c>
      <c r="EU25">
        <v>2.2093976959810671E-3</v>
      </c>
      <c r="EV25">
        <v>1.7089453085256657E-2</v>
      </c>
      <c r="EW25">
        <v>2.6424489149574126E-2</v>
      </c>
      <c r="EX25">
        <v>2.1542814828005943E-3</v>
      </c>
      <c r="EY25">
        <v>2.4806694956178293E-2</v>
      </c>
      <c r="EZ25">
        <v>2.6326807797578528E-2</v>
      </c>
      <c r="FA25">
        <v>1.2411592165712455E-2</v>
      </c>
      <c r="FB25">
        <v>3.6035859286256647E-2</v>
      </c>
      <c r="FC25">
        <v>6.4106253423464668E-2</v>
      </c>
      <c r="FD25">
        <v>5.4767139821518214E-2</v>
      </c>
      <c r="FE25">
        <v>2.4143327366917409E-2</v>
      </c>
      <c r="FF25">
        <v>2.6985750130097252E-2</v>
      </c>
      <c r="FG25">
        <v>2.7083321338700433E-2</v>
      </c>
      <c r="FH25">
        <v>2.3971690169272107E-2</v>
      </c>
      <c r="FI25">
        <v>6.7826737316964744E-2</v>
      </c>
      <c r="FJ25">
        <v>3.5585428133170661E-3</v>
      </c>
      <c r="FK25">
        <v>1.2690972004712354E-2</v>
      </c>
      <c r="FL25">
        <v>6.45603480736094E-2</v>
      </c>
      <c r="FM25">
        <v>5.6437374334805335E-2</v>
      </c>
      <c r="FN25">
        <v>6.9864960399065548E-2</v>
      </c>
      <c r="FO25">
        <v>6.8916012971353994E-3</v>
      </c>
      <c r="FP25">
        <v>2.0194160883903214E-2</v>
      </c>
      <c r="FQ25">
        <v>1.8450774307825643E-2</v>
      </c>
      <c r="FR25">
        <v>5.2206797873184906E-2</v>
      </c>
      <c r="FS25">
        <v>2.0691183403282288E-2</v>
      </c>
      <c r="FT25">
        <v>3.591389352721637E-2</v>
      </c>
      <c r="FU25">
        <v>6.0853338248155198E-2</v>
      </c>
      <c r="FV25">
        <v>1.8029714125076292E-2</v>
      </c>
      <c r="FW25">
        <v>4.6262870808956677E-2</v>
      </c>
      <c r="FX25">
        <v>1.2429633961824874E-2</v>
      </c>
      <c r="FY25">
        <v>1.2242314139646774E-2</v>
      </c>
      <c r="FZ25">
        <v>3.7777926225164855E-2</v>
      </c>
      <c r="GA25">
        <v>3.0279802370328866E-2</v>
      </c>
      <c r="GB25">
        <v>8.10882624745244E-3</v>
      </c>
      <c r="GC25">
        <v>4.86206926395467E-2</v>
      </c>
      <c r="GD25">
        <v>8.077941694114665E-3</v>
      </c>
      <c r="GE25">
        <v>3.9722590910042925E-2</v>
      </c>
      <c r="GF25">
        <v>3.2528666261197478E-2</v>
      </c>
      <c r="GG25">
        <v>6.1849149415646787E-2</v>
      </c>
      <c r="GH25">
        <v>8.1750415731091462E-3</v>
      </c>
      <c r="GI25">
        <v>1.7610133971186121E-2</v>
      </c>
      <c r="GJ25">
        <v>2.1707241701816704E-2</v>
      </c>
      <c r="GK25">
        <v>4.0921560739454084E-2</v>
      </c>
      <c r="GL25">
        <v>1.3814250109691988E-2</v>
      </c>
      <c r="GM25">
        <v>5.9525598517109158E-3</v>
      </c>
      <c r="GN25">
        <v>1.2396759784256452E-2</v>
      </c>
      <c r="GO25">
        <v>1.2800448417158522E-2</v>
      </c>
      <c r="GP25">
        <v>2.4873327634781599E-2</v>
      </c>
      <c r="GQ25">
        <v>2.2229156541376749E-2</v>
      </c>
      <c r="GR25">
        <v>2.1728398039119568E-2</v>
      </c>
      <c r="GS25">
        <v>1.6690062937209139E-2</v>
      </c>
      <c r="GT25">
        <v>1.0563597504644247E-2</v>
      </c>
      <c r="GU25">
        <v>1.6548310424115358E-2</v>
      </c>
      <c r="GV25">
        <v>2.4407601342938585E-2</v>
      </c>
      <c r="GW25">
        <v>6.2639374860131349E-3</v>
      </c>
      <c r="GX25">
        <v>6.686173767361428E-2</v>
      </c>
      <c r="GY25">
        <v>1.9768593319640163E-3</v>
      </c>
      <c r="GZ25">
        <v>3.2251948663976561E-3</v>
      </c>
      <c r="HA25">
        <v>3.023979657911964E-2</v>
      </c>
      <c r="HB25">
        <v>6.443807383323831E-2</v>
      </c>
      <c r="HC25">
        <v>1.7538501720226515E-2</v>
      </c>
      <c r="HD25">
        <v>1.587091887462053E-2</v>
      </c>
      <c r="HE25">
        <v>1.8400535389350384E-2</v>
      </c>
      <c r="HF25">
        <v>7.5334195428499295E-3</v>
      </c>
      <c r="HG25">
        <v>4.8322104944107186E-2</v>
      </c>
      <c r="HH25">
        <v>4.3620623460168956E-2</v>
      </c>
      <c r="HI25">
        <v>5.3225780173951749E-2</v>
      </c>
      <c r="HJ25">
        <v>6.7111805473799016E-3</v>
      </c>
      <c r="HK25">
        <v>0.10562355087846298</v>
      </c>
      <c r="HL25">
        <v>1.1517278736491696E-2</v>
      </c>
      <c r="HM25">
        <v>2.1209847381271289E-2</v>
      </c>
      <c r="HN25">
        <v>4.3062514657960009E-2</v>
      </c>
      <c r="HO25">
        <v>2.0023824309140729E-2</v>
      </c>
      <c r="HP25">
        <v>3.4728188330463705E-2</v>
      </c>
      <c r="HQ25">
        <v>1.7573645716591677E-2</v>
      </c>
      <c r="HR25">
        <v>3.2909373679003616E-2</v>
      </c>
      <c r="HS25">
        <v>1.8121475858987709E-2</v>
      </c>
      <c r="HT25">
        <v>5.2978150012447083E-3</v>
      </c>
      <c r="HU25">
        <v>2.7073703972523105E-2</v>
      </c>
      <c r="HV25">
        <v>2.1099964558739706E-2</v>
      </c>
      <c r="HW25">
        <v>1.6772987925057398E-2</v>
      </c>
      <c r="HX25">
        <v>6.8435926294841661E-3</v>
      </c>
      <c r="HY25">
        <v>8.4634291641227377E-3</v>
      </c>
      <c r="HZ25">
        <v>1.1165305186523944E-2</v>
      </c>
      <c r="IA25">
        <v>4.344122486824132E-2</v>
      </c>
      <c r="IB25">
        <v>2.8389967715560312E-3</v>
      </c>
      <c r="IC25">
        <v>3.4617621788774798E-3</v>
      </c>
      <c r="ID25">
        <v>2.8379271088540037E-2</v>
      </c>
      <c r="IE25">
        <v>7.8644031649689874E-2</v>
      </c>
      <c r="IF25">
        <v>5.4333284759901568E-2</v>
      </c>
      <c r="IG25">
        <v>1.3332405311457022E-2</v>
      </c>
      <c r="IH25">
        <v>3.1996147821903667E-3</v>
      </c>
      <c r="II25">
        <v>1.4679870692029693E-2</v>
      </c>
      <c r="IJ25">
        <v>2.578377375518117E-2</v>
      </c>
      <c r="IK25">
        <v>1.8527426680407848E-2</v>
      </c>
      <c r="IL25">
        <v>1.3729742150698937E-2</v>
      </c>
      <c r="IM25">
        <v>3.6983365774232224E-2</v>
      </c>
      <c r="IN25">
        <v>2.4411547880372649E-2</v>
      </c>
      <c r="IO25">
        <v>6.5758590016094243E-3</v>
      </c>
    </row>
    <row r="26" spans="5:249" x14ac:dyDescent="0.15">
      <c r="E26">
        <v>3.063653823548362E-2</v>
      </c>
      <c r="F26">
        <v>9.5828420872476935E-4</v>
      </c>
      <c r="J26" s="17">
        <v>6.494480123384952E-2</v>
      </c>
      <c r="K26" s="17">
        <v>8.5207702554649569E-3</v>
      </c>
      <c r="L26" s="17">
        <v>3.3758825501742619E-2</v>
      </c>
      <c r="M26" s="17">
        <v>0.17202971231556791</v>
      </c>
      <c r="N26" s="17">
        <v>3.5520521106292544E-2</v>
      </c>
      <c r="O26" s="17">
        <v>2.2199993297617404E-2</v>
      </c>
      <c r="P26" s="17">
        <v>6.6448509683592519E-2</v>
      </c>
      <c r="Q26" s="17">
        <v>9.9248477299609204E-3</v>
      </c>
      <c r="R26" s="17">
        <v>8.9388430636702845E-3</v>
      </c>
      <c r="S26" s="17">
        <v>2.0169291544460545E-2</v>
      </c>
      <c r="T26">
        <v>6.990982320513971E-3</v>
      </c>
      <c r="U26">
        <v>1.6357787945534968E-2</v>
      </c>
      <c r="V26">
        <v>1.31071198210954E-2</v>
      </c>
      <c r="W26">
        <v>1.7433892710100391E-2</v>
      </c>
      <c r="X26">
        <v>2.1564129773428333E-2</v>
      </c>
      <c r="Y26">
        <v>3.01057108502382E-2</v>
      </c>
      <c r="Z26">
        <v>4.9520132622919103E-3</v>
      </c>
      <c r="AA26">
        <v>2.1372266950648179E-2</v>
      </c>
      <c r="AB26">
        <v>3.4748853898206929E-2</v>
      </c>
      <c r="AC26">
        <v>5.7152695069795567E-3</v>
      </c>
      <c r="AD26">
        <v>1.2097561296831155E-2</v>
      </c>
      <c r="AE26">
        <v>5.3518343913584426E-2</v>
      </c>
      <c r="AF26">
        <v>5.9317011468252169E-2</v>
      </c>
      <c r="AG26">
        <v>4.5792317284456532E-3</v>
      </c>
      <c r="AH26">
        <v>3.3903059886173217E-2</v>
      </c>
      <c r="AI26">
        <v>3.0835777754472455E-2</v>
      </c>
      <c r="AJ26">
        <v>3.6033530986907217E-2</v>
      </c>
      <c r="AK26">
        <v>7.7437348000993611E-2</v>
      </c>
      <c r="AL26">
        <v>1.4648195746951368E-2</v>
      </c>
      <c r="AM26">
        <v>1.2419706126494097E-2</v>
      </c>
      <c r="AN26">
        <v>2.696545564922468E-2</v>
      </c>
      <c r="AO26">
        <v>2.2036336716996903E-2</v>
      </c>
      <c r="AP26">
        <v>6.0474869879355679E-3</v>
      </c>
      <c r="AQ26">
        <v>4.2359543892078223E-2</v>
      </c>
      <c r="AR26">
        <v>6.2707325707343303E-2</v>
      </c>
      <c r="AS26">
        <v>0.11792151491546644</v>
      </c>
      <c r="AT26">
        <v>1.4518466298111163E-2</v>
      </c>
      <c r="AU26">
        <v>1.2948658929603953E-2</v>
      </c>
      <c r="AV26">
        <v>5.4927750428294037E-2</v>
      </c>
      <c r="AW26">
        <v>7.4145452562605546E-2</v>
      </c>
      <c r="AX26">
        <v>3.028920371486098E-2</v>
      </c>
      <c r="AY26">
        <v>8.6311866436965284E-2</v>
      </c>
      <c r="AZ26">
        <v>2.663078502929133E-2</v>
      </c>
      <c r="BA26">
        <v>8.1299836986292312E-3</v>
      </c>
      <c r="BB26">
        <v>9.3753682506972254E-3</v>
      </c>
      <c r="BC26">
        <v>3.9432109258308125E-2</v>
      </c>
      <c r="BD26">
        <v>1.650306177028384E-2</v>
      </c>
      <c r="BE26">
        <v>2.9373958674123315E-2</v>
      </c>
      <c r="BF26">
        <v>2.0058324340651412E-2</v>
      </c>
      <c r="BG26">
        <v>0.12027240520447151</v>
      </c>
      <c r="BH26">
        <v>8.9497987386870197E-3</v>
      </c>
      <c r="BI26">
        <v>1.6370558375050824E-2</v>
      </c>
      <c r="BJ26">
        <v>2.4574282333696105E-2</v>
      </c>
      <c r="BK26">
        <v>2.4181521256734395E-2</v>
      </c>
      <c r="BL26">
        <v>1.5609780966307158E-2</v>
      </c>
      <c r="BM26">
        <v>6.8825851363709487E-2</v>
      </c>
      <c r="BN26">
        <v>2.3738362655665621E-2</v>
      </c>
      <c r="BO26">
        <v>3.0767356618978735E-2</v>
      </c>
      <c r="BP26">
        <v>1.3970097292305261E-2</v>
      </c>
      <c r="BQ26">
        <v>3.7173666475885769E-2</v>
      </c>
      <c r="BR26">
        <v>4.1319836378438488E-2</v>
      </c>
      <c r="BS26">
        <v>1.9360216612861674E-2</v>
      </c>
      <c r="BT26">
        <v>1.8507989891907585E-2</v>
      </c>
      <c r="BU26">
        <v>3.2251329111348819E-3</v>
      </c>
      <c r="BV26">
        <v>1.3785017001406179E-2</v>
      </c>
      <c r="BW26">
        <v>1.8675788736877991E-2</v>
      </c>
      <c r="BX26">
        <v>9.3393909224319775E-3</v>
      </c>
      <c r="BY26">
        <v>4.4870256941596222E-2</v>
      </c>
      <c r="BZ26">
        <v>0.21032301024954</v>
      </c>
      <c r="CA26">
        <v>4.2944176400452262E-2</v>
      </c>
      <c r="CB26">
        <v>1.619938973948162E-2</v>
      </c>
      <c r="CC26">
        <v>1.3617995251108584E-2</v>
      </c>
      <c r="CD26">
        <v>1.7756817326349598E-2</v>
      </c>
      <c r="CE26">
        <v>1.4645342993023858E-2</v>
      </c>
      <c r="CF26">
        <v>8.5455642126615813E-2</v>
      </c>
      <c r="CG26">
        <v>4.0543604073275057E-2</v>
      </c>
      <c r="CH26">
        <v>1.6172545121093188E-2</v>
      </c>
      <c r="CI26">
        <v>9.7905507314947054E-3</v>
      </c>
      <c r="CJ26">
        <v>2.9846622692586804E-2</v>
      </c>
      <c r="CK26">
        <v>2.4901834281736038E-2</v>
      </c>
      <c r="CL26">
        <v>8.1943788324096763E-3</v>
      </c>
      <c r="CM26">
        <v>8.7518393928714827E-3</v>
      </c>
      <c r="CN26">
        <v>5.9049704552109207E-2</v>
      </c>
      <c r="CO26">
        <v>3.0401095038498391E-2</v>
      </c>
      <c r="CP26">
        <v>3.1599480436157922E-2</v>
      </c>
      <c r="CQ26">
        <v>2.2110444839687486E-2</v>
      </c>
      <c r="CR26">
        <v>1.0368474708264687E-2</v>
      </c>
      <c r="CS26">
        <v>6.2040156719054811E-3</v>
      </c>
      <c r="CT26">
        <v>4.4257749618624297E-2</v>
      </c>
      <c r="CU26">
        <v>1.4315445394274824E-2</v>
      </c>
      <c r="CV26">
        <v>3.1659535069710878E-2</v>
      </c>
      <c r="CW26">
        <v>4.2057247758522147E-2</v>
      </c>
      <c r="CX26">
        <v>2.9341360402771806E-2</v>
      </c>
      <c r="CY26">
        <v>0.17815553261398964</v>
      </c>
      <c r="CZ26">
        <v>3.019526739865671E-2</v>
      </c>
      <c r="DA26">
        <v>4.1224465707211305E-2</v>
      </c>
      <c r="DB26">
        <v>6.4920054640376784E-3</v>
      </c>
      <c r="DC26">
        <v>5.5808798471964193E-3</v>
      </c>
      <c r="DD26">
        <v>7.5704257418507418E-3</v>
      </c>
      <c r="DE26">
        <v>2.8715780619822429E-2</v>
      </c>
      <c r="DF26">
        <v>3.9289690058129594E-2</v>
      </c>
      <c r="DG26">
        <v>9.8788014138173567E-3</v>
      </c>
      <c r="DH26">
        <v>6.2514204796450243E-2</v>
      </c>
      <c r="DI26">
        <v>1.3202039977612596E-2</v>
      </c>
      <c r="DJ26">
        <v>4.1952921137526633E-2</v>
      </c>
      <c r="DK26">
        <v>2.6978580517669395E-2</v>
      </c>
      <c r="DL26">
        <v>1.7057803369790455E-2</v>
      </c>
      <c r="DM26">
        <v>5.1497891639334235E-2</v>
      </c>
      <c r="DN26">
        <v>2.3262767010350585E-2</v>
      </c>
      <c r="DO26">
        <v>0.22157194070275382</v>
      </c>
      <c r="DP26">
        <v>1.4292109477839335E-2</v>
      </c>
      <c r="DQ26">
        <v>3.9210020934166416E-2</v>
      </c>
      <c r="DR26">
        <v>2.1658026063200763E-3</v>
      </c>
      <c r="DS26">
        <v>1.5453672413790302E-2</v>
      </c>
      <c r="DT26">
        <v>3.2806257359755668E-2</v>
      </c>
      <c r="DU26">
        <v>2.1631540986813826E-2</v>
      </c>
      <c r="DV26">
        <v>4.3898767927236342E-3</v>
      </c>
      <c r="DW26">
        <v>2.6086680998273992E-2</v>
      </c>
      <c r="DX26">
        <v>4.6665432268047889E-3</v>
      </c>
      <c r="DY26">
        <v>3.6239333405649027E-2</v>
      </c>
      <c r="DZ26">
        <v>3.613051902733673E-2</v>
      </c>
      <c r="EA26">
        <v>1.3000870374904891E-2</v>
      </c>
      <c r="EB26">
        <v>1.5099472974015838E-2</v>
      </c>
      <c r="EC26">
        <v>8.9859138456151122E-2</v>
      </c>
      <c r="ED26">
        <v>3.1524651538761077E-3</v>
      </c>
      <c r="EE26">
        <v>1.4526360688684582E-2</v>
      </c>
      <c r="EF26">
        <v>8.5741725710625511E-3</v>
      </c>
      <c r="EG26">
        <v>1.161520150337037E-2</v>
      </c>
      <c r="EH26">
        <v>2.2459400937298139E-2</v>
      </c>
      <c r="EI26">
        <v>1.3476411417958249E-2</v>
      </c>
      <c r="EJ26">
        <v>3.1038924204385824E-3</v>
      </c>
      <c r="EK26">
        <v>5.9407758057572542E-2</v>
      </c>
      <c r="EL26">
        <v>7.1299445819628139E-3</v>
      </c>
      <c r="EM26">
        <v>5.4700779707959474E-3</v>
      </c>
      <c r="EN26">
        <v>2.0432455479550089E-2</v>
      </c>
      <c r="EO26">
        <v>1.2171677281252943E-2</v>
      </c>
      <c r="EP26">
        <v>7.7154997613369247E-3</v>
      </c>
      <c r="EQ26">
        <v>3.5356140112491351E-2</v>
      </c>
      <c r="ER26">
        <v>9.248670877195711E-2</v>
      </c>
      <c r="ES26">
        <v>2.3105529935382646E-2</v>
      </c>
      <c r="ET26">
        <v>8.6844093183129148E-2</v>
      </c>
      <c r="EU26">
        <v>1.367259560420931E-3</v>
      </c>
      <c r="EV26">
        <v>2.0469378031119971E-2</v>
      </c>
      <c r="EW26">
        <v>3.4885700760619302E-2</v>
      </c>
      <c r="EX26">
        <v>2.4512725428733366E-3</v>
      </c>
      <c r="EY26">
        <v>1.7324299834790911E-2</v>
      </c>
      <c r="EZ26">
        <v>3.4191475250095589E-2</v>
      </c>
      <c r="FA26">
        <v>1.2281857212594258E-2</v>
      </c>
      <c r="FB26">
        <v>2.4387822072057717E-2</v>
      </c>
      <c r="FC26">
        <v>6.5532861352192148E-2</v>
      </c>
      <c r="FD26">
        <v>5.8571446543831111E-2</v>
      </c>
      <c r="FE26">
        <v>2.598605000337886E-2</v>
      </c>
      <c r="FF26">
        <v>2.6795489719495875E-2</v>
      </c>
      <c r="FG26">
        <v>2.7635336937822056E-2</v>
      </c>
      <c r="FH26">
        <v>1.4272622226131182E-2</v>
      </c>
      <c r="FI26">
        <v>6.8118684973030516E-2</v>
      </c>
      <c r="FJ26">
        <v>4.2115565459609969E-3</v>
      </c>
      <c r="FK26">
        <v>1.1312898943268453E-2</v>
      </c>
      <c r="FL26">
        <v>7.0841885736849727E-2</v>
      </c>
      <c r="FM26">
        <v>5.3387467778868644E-2</v>
      </c>
      <c r="FN26">
        <v>7.0183203321995902E-2</v>
      </c>
      <c r="FO26">
        <v>5.1736979587173266E-3</v>
      </c>
      <c r="FP26">
        <v>2.1047638560295366E-2</v>
      </c>
      <c r="FQ26">
        <v>1.8694956652957045E-2</v>
      </c>
      <c r="FR26">
        <v>5.983913410306458E-2</v>
      </c>
      <c r="FS26">
        <v>1.6801246700800306E-2</v>
      </c>
      <c r="FT26">
        <v>3.6598677427071034E-2</v>
      </c>
      <c r="FU26">
        <v>8.2284693289718699E-2</v>
      </c>
      <c r="FV26">
        <v>2.0266462165713206E-2</v>
      </c>
      <c r="FW26">
        <v>5.5447050409084556E-2</v>
      </c>
      <c r="FX26">
        <v>9.3808526988184721E-3</v>
      </c>
      <c r="FY26">
        <v>1.6867912902522132E-2</v>
      </c>
      <c r="FZ26">
        <v>3.4422682542064341E-2</v>
      </c>
      <c r="GA26">
        <v>4.036262514641363E-2</v>
      </c>
      <c r="GB26">
        <v>4.1338838076651818E-3</v>
      </c>
      <c r="GC26">
        <v>4.8948093794001203E-2</v>
      </c>
      <c r="GD26">
        <v>6.6015586504911969E-3</v>
      </c>
      <c r="GE26">
        <v>4.3244767430475839E-2</v>
      </c>
      <c r="GF26">
        <v>2.8658316447179404E-2</v>
      </c>
      <c r="GG26">
        <v>7.2566628920168366E-2</v>
      </c>
      <c r="GH26">
        <v>6.6441062054923058E-3</v>
      </c>
      <c r="GI26">
        <v>2.3406398717447256E-2</v>
      </c>
      <c r="GJ26">
        <v>2.0286524231856812E-2</v>
      </c>
      <c r="GK26">
        <v>4.7790948254093871E-2</v>
      </c>
      <c r="GL26">
        <v>1.294251955030222E-2</v>
      </c>
      <c r="GM26">
        <v>6.2333734092218703E-3</v>
      </c>
      <c r="GN26">
        <v>1.0982771726242504E-2</v>
      </c>
      <c r="GO26">
        <v>1.7914075605840279E-2</v>
      </c>
      <c r="GP26">
        <v>2.4965132160196152E-2</v>
      </c>
      <c r="GQ26">
        <v>1.064862053061987E-2</v>
      </c>
      <c r="GR26">
        <v>1.9073651592325366E-2</v>
      </c>
      <c r="GS26">
        <v>2.3712602933869755E-2</v>
      </c>
      <c r="GT26">
        <v>1.2106922900393467E-2</v>
      </c>
      <c r="GU26">
        <v>1.8880115799452202E-2</v>
      </c>
      <c r="GV26">
        <v>3.3692031329511048E-2</v>
      </c>
      <c r="GW26">
        <v>6.5359450646605933E-3</v>
      </c>
      <c r="GX26">
        <v>6.5270360408801811E-2</v>
      </c>
      <c r="GY26">
        <v>2.0238927483663622E-3</v>
      </c>
      <c r="GZ26">
        <v>3.0497431749704276E-3</v>
      </c>
      <c r="HA26">
        <v>2.6854442874349602E-2</v>
      </c>
      <c r="HB26">
        <v>6.2085348135409876E-2</v>
      </c>
      <c r="HC26">
        <v>2.3648341644825738E-2</v>
      </c>
      <c r="HD26">
        <v>1.7348927512795456E-2</v>
      </c>
      <c r="HE26">
        <v>1.27615195592617E-2</v>
      </c>
      <c r="HF26">
        <v>9.1902506195965343E-3</v>
      </c>
      <c r="HG26">
        <v>4.1789143339536657E-2</v>
      </c>
      <c r="HH26">
        <v>2.9024176599677501E-2</v>
      </c>
      <c r="HI26">
        <v>6.9404122095269707E-2</v>
      </c>
      <c r="HJ26">
        <v>7.2545247466255262E-3</v>
      </c>
      <c r="HK26">
        <v>6.662581525376618E-2</v>
      </c>
      <c r="HL26">
        <v>1.5581866345902407E-2</v>
      </c>
      <c r="HM26">
        <v>2.1664416673147981E-2</v>
      </c>
      <c r="HN26">
        <v>4.1639668675246481E-2</v>
      </c>
      <c r="HO26">
        <v>1.3494632649906088E-2</v>
      </c>
      <c r="HP26">
        <v>3.805247549300432E-2</v>
      </c>
      <c r="HQ26">
        <v>1.4007744783406779E-2</v>
      </c>
      <c r="HR26">
        <v>3.9099159567315821E-2</v>
      </c>
      <c r="HS26">
        <v>2.7611475623650197E-2</v>
      </c>
      <c r="HT26">
        <v>4.9497253733182074E-3</v>
      </c>
      <c r="HU26">
        <v>2.6846447763593455E-2</v>
      </c>
      <c r="HV26">
        <v>2.0169475504193766E-2</v>
      </c>
      <c r="HW26">
        <v>2.5876820374871701E-2</v>
      </c>
      <c r="HX26">
        <v>6.2986312490998396E-3</v>
      </c>
      <c r="HY26">
        <v>9.9144256141090095E-3</v>
      </c>
      <c r="HZ26">
        <v>1.315378499244178E-2</v>
      </c>
      <c r="IA26">
        <v>4.5609668770014433E-2</v>
      </c>
      <c r="IB26">
        <v>3.4476027552659354E-3</v>
      </c>
      <c r="IC26">
        <v>1.4915729259882705E-3</v>
      </c>
      <c r="ID26">
        <v>2.3552220121450002E-2</v>
      </c>
      <c r="IE26">
        <v>9.2379134763998061E-2</v>
      </c>
      <c r="IF26">
        <v>5.2964408034087092E-2</v>
      </c>
      <c r="IG26">
        <v>1.4202204165665342E-2</v>
      </c>
      <c r="IH26">
        <v>2.6635393934634531E-3</v>
      </c>
      <c r="II26">
        <v>1.4554216626951402E-2</v>
      </c>
      <c r="IJ26">
        <v>2.6485053450224717E-2</v>
      </c>
      <c r="IK26">
        <v>2.3490024961372934E-2</v>
      </c>
      <c r="IL26">
        <v>1.2903918791727205E-2</v>
      </c>
      <c r="IM26">
        <v>4.0895809432212202E-2</v>
      </c>
      <c r="IN26">
        <v>2.6430666493309721E-2</v>
      </c>
      <c r="IO26">
        <v>8.1397842663224439E-3</v>
      </c>
    </row>
    <row r="27" spans="5:249" x14ac:dyDescent="0.15">
      <c r="E27">
        <v>2.9904221341357388E-2</v>
      </c>
      <c r="F27">
        <v>9.1179465202271832E-4</v>
      </c>
      <c r="J27" s="17">
        <v>0.10681326620516057</v>
      </c>
      <c r="K27" s="17">
        <v>7.2815947095158833E-3</v>
      </c>
      <c r="L27" s="17">
        <v>2.796816827350488E-2</v>
      </c>
      <c r="M27" s="17">
        <v>0.17582533196159966</v>
      </c>
      <c r="N27" s="17">
        <v>3.9553836733915514E-2</v>
      </c>
      <c r="O27" s="17">
        <v>1.776973635780189E-2</v>
      </c>
      <c r="P27" s="17">
        <v>6.5221706220600903E-2</v>
      </c>
      <c r="Q27" s="17">
        <v>9.9898000948544126E-3</v>
      </c>
      <c r="R27" s="17">
        <v>1.0251416864810563E-2</v>
      </c>
      <c r="S27" s="17">
        <v>1.9235256145119527E-2</v>
      </c>
      <c r="T27">
        <v>7.6802796304141765E-3</v>
      </c>
      <c r="U27">
        <v>2.4419038290323294E-2</v>
      </c>
      <c r="V27">
        <v>9.2490921967889102E-3</v>
      </c>
      <c r="W27">
        <v>1.843929388117559E-2</v>
      </c>
      <c r="X27">
        <v>2.5790761468367774E-2</v>
      </c>
      <c r="Y27">
        <v>2.5562714284715904E-2</v>
      </c>
      <c r="Z27">
        <v>6.6674599503453837E-3</v>
      </c>
      <c r="AA27">
        <v>2.8751440362153317E-2</v>
      </c>
      <c r="AB27">
        <v>2.5741242936271631E-2</v>
      </c>
      <c r="AC27">
        <v>6.7601672212407836E-3</v>
      </c>
      <c r="AD27">
        <v>1.6227868389667728E-2</v>
      </c>
      <c r="AE27">
        <v>3.9535149721093628E-2</v>
      </c>
      <c r="AF27">
        <v>5.8484006542200914E-2</v>
      </c>
      <c r="AG27">
        <v>5.0933804233150495E-3</v>
      </c>
      <c r="AH27">
        <v>2.8344293839329373E-2</v>
      </c>
      <c r="AI27">
        <v>3.5560246041618546E-2</v>
      </c>
      <c r="AJ27">
        <v>4.0170584592494653E-2</v>
      </c>
      <c r="AK27">
        <v>9.5601159107656222E-2</v>
      </c>
      <c r="AL27">
        <v>1.8230692921254309E-2</v>
      </c>
      <c r="AM27">
        <v>1.1852935971246824E-2</v>
      </c>
      <c r="AN27">
        <v>2.881701780897776E-2</v>
      </c>
      <c r="AO27">
        <v>2.8042294804476182E-2</v>
      </c>
      <c r="AP27">
        <v>6.0947767608827124E-3</v>
      </c>
      <c r="AQ27">
        <v>5.3159477813527672E-2</v>
      </c>
      <c r="AR27">
        <v>5.7827981372860424E-2</v>
      </c>
      <c r="AS27">
        <v>9.0524834809202634E-2</v>
      </c>
      <c r="AT27">
        <v>1.4311461103983875E-2</v>
      </c>
      <c r="AU27">
        <v>1.5429401198185925E-2</v>
      </c>
      <c r="AV27">
        <v>6.8544837295154037E-2</v>
      </c>
      <c r="AW27">
        <v>5.7265649055105346E-2</v>
      </c>
      <c r="AX27">
        <v>1.808000377303623E-2</v>
      </c>
      <c r="AY27">
        <v>7.4547640833128356E-2</v>
      </c>
      <c r="AZ27">
        <v>2.1536450929359154E-2</v>
      </c>
      <c r="BA27">
        <v>8.1722032234040811E-3</v>
      </c>
      <c r="BB27">
        <v>1.1912339668625146E-2</v>
      </c>
      <c r="BC27">
        <v>3.451887322704459E-2</v>
      </c>
      <c r="BD27">
        <v>1.2828849088015494E-2</v>
      </c>
      <c r="BE27">
        <v>2.9162569530239123E-2</v>
      </c>
      <c r="BF27">
        <v>2.3397284092778352E-2</v>
      </c>
      <c r="BG27">
        <v>9.8266044030371008E-2</v>
      </c>
      <c r="BH27">
        <v>8.1225341645648659E-3</v>
      </c>
      <c r="BI27">
        <v>2.1552668108970857E-2</v>
      </c>
      <c r="BJ27">
        <v>2.0449433779522488E-2</v>
      </c>
      <c r="BK27">
        <v>2.0951798933574205E-2</v>
      </c>
      <c r="BL27">
        <v>2.7094136303922982E-2</v>
      </c>
      <c r="BM27">
        <v>8.1118544406731163E-2</v>
      </c>
      <c r="BN27">
        <v>2.2637227370434811E-2</v>
      </c>
      <c r="BO27">
        <v>3.1581063154516344E-2</v>
      </c>
      <c r="BP27">
        <v>9.5055933305312878E-3</v>
      </c>
      <c r="BQ27">
        <v>4.6227993867525997E-2</v>
      </c>
      <c r="BR27">
        <v>3.755944303697209E-2</v>
      </c>
      <c r="BS27">
        <v>2.3049153078248584E-2</v>
      </c>
      <c r="BT27">
        <v>1.8224330310873029E-2</v>
      </c>
      <c r="BU27">
        <v>4.8183347798108674E-3</v>
      </c>
      <c r="BV27">
        <v>1.9473177568479164E-2</v>
      </c>
      <c r="BW27">
        <v>1.9947077301520639E-2</v>
      </c>
      <c r="BX27">
        <v>8.9031751518016157E-3</v>
      </c>
      <c r="BY27">
        <v>3.4609443239130025E-2</v>
      </c>
      <c r="BZ27">
        <v>0.16609963101070593</v>
      </c>
      <c r="CA27">
        <v>4.0373998714976107E-2</v>
      </c>
      <c r="CB27">
        <v>1.3328329362623008E-2</v>
      </c>
      <c r="CC27">
        <v>1.844808109490478E-2</v>
      </c>
      <c r="CD27">
        <v>2.1325312413555751E-2</v>
      </c>
      <c r="CE27">
        <v>1.5857941053460625E-2</v>
      </c>
      <c r="CF27">
        <v>4.4522386593507032E-2</v>
      </c>
      <c r="CG27">
        <v>3.9024219628572977E-2</v>
      </c>
      <c r="CH27">
        <v>1.776867800770713E-2</v>
      </c>
      <c r="CI27">
        <v>9.4701631196050171E-3</v>
      </c>
      <c r="CJ27">
        <v>1.9397040831879819E-2</v>
      </c>
      <c r="CK27">
        <v>2.5030119421397164E-2</v>
      </c>
      <c r="CL27">
        <v>6.8500312837902989E-3</v>
      </c>
      <c r="CM27">
        <v>9.3788303778563602E-3</v>
      </c>
      <c r="CN27">
        <v>6.8273664864144559E-2</v>
      </c>
      <c r="CO27">
        <v>2.1772070094274593E-2</v>
      </c>
      <c r="CP27">
        <v>3.298484801746613E-2</v>
      </c>
      <c r="CQ27">
        <v>1.4117087927363256E-2</v>
      </c>
      <c r="CR27">
        <v>1.6868526681266371E-2</v>
      </c>
      <c r="CS27">
        <v>5.2632667699697658E-3</v>
      </c>
      <c r="CT27">
        <v>5.6359540323941575E-2</v>
      </c>
      <c r="CU27">
        <v>9.5613108680893608E-3</v>
      </c>
      <c r="CV27">
        <v>2.4334472178463535E-2</v>
      </c>
      <c r="CW27">
        <v>3.1454218668783507E-2</v>
      </c>
      <c r="CX27">
        <v>1.9337280561657181E-2</v>
      </c>
      <c r="CY27">
        <v>0.19290955848518759</v>
      </c>
      <c r="CZ27">
        <v>2.2356705747156931E-2</v>
      </c>
      <c r="DA27">
        <v>3.8834947054006023E-2</v>
      </c>
      <c r="DB27">
        <v>8.2224538634924592E-3</v>
      </c>
      <c r="DC27">
        <v>4.2786014361941693E-3</v>
      </c>
      <c r="DD27">
        <v>9.1785800335527305E-3</v>
      </c>
      <c r="DE27">
        <v>4.0280493086794579E-2</v>
      </c>
      <c r="DF27">
        <v>5.3210578328536116E-2</v>
      </c>
      <c r="DG27">
        <v>1.4068675412863659E-2</v>
      </c>
      <c r="DH27">
        <v>4.0646322214492409E-2</v>
      </c>
      <c r="DI27">
        <v>1.6936670316254968E-2</v>
      </c>
      <c r="DJ27">
        <v>4.5590831424765596E-2</v>
      </c>
      <c r="DK27">
        <v>3.5525796671053364E-2</v>
      </c>
      <c r="DL27">
        <v>2.0333748860785303E-2</v>
      </c>
      <c r="DM27">
        <v>6.2737834975834739E-2</v>
      </c>
      <c r="DN27">
        <v>2.3969724680089462E-2</v>
      </c>
      <c r="DO27">
        <v>0.22199195417489601</v>
      </c>
      <c r="DP27">
        <v>1.446292655077224E-2</v>
      </c>
      <c r="DQ27">
        <v>2.9719883925495669E-2</v>
      </c>
      <c r="DR27">
        <v>1.739319912862376E-3</v>
      </c>
      <c r="DS27">
        <v>1.5231808076227718E-2</v>
      </c>
      <c r="DT27">
        <v>2.9968925255398311E-2</v>
      </c>
      <c r="DU27">
        <v>2.3186079360274794E-2</v>
      </c>
      <c r="DV27">
        <v>5.8037535962028666E-3</v>
      </c>
      <c r="DW27">
        <v>2.0040577384841437E-2</v>
      </c>
      <c r="DX27">
        <v>4.2702681686345289E-3</v>
      </c>
      <c r="DY27">
        <v>3.7356121361146827E-2</v>
      </c>
      <c r="DZ27">
        <v>3.9333529331119957E-2</v>
      </c>
      <c r="EA27">
        <v>1.3570256911479197E-2</v>
      </c>
      <c r="EB27">
        <v>1.3674503779914738E-2</v>
      </c>
      <c r="EC27">
        <v>7.4855675878401515E-2</v>
      </c>
      <c r="ED27">
        <v>3.3635879058574658E-3</v>
      </c>
      <c r="EE27">
        <v>1.8089743397414388E-2</v>
      </c>
      <c r="EF27">
        <v>9.9282078410738474E-3</v>
      </c>
      <c r="EG27">
        <v>1.1738180030660518E-2</v>
      </c>
      <c r="EH27">
        <v>1.2916261870257023E-2</v>
      </c>
      <c r="EI27">
        <v>1.5875254071706438E-2</v>
      </c>
      <c r="EJ27">
        <v>3.5168572432683989E-3</v>
      </c>
      <c r="EK27">
        <v>4.3908995043292633E-2</v>
      </c>
      <c r="EL27">
        <v>6.1374411861725431E-3</v>
      </c>
      <c r="EM27">
        <v>3.8793253179508621E-3</v>
      </c>
      <c r="EN27">
        <v>1.3253873116747463E-2</v>
      </c>
      <c r="EO27">
        <v>1.0470544172516534E-2</v>
      </c>
      <c r="EP27">
        <v>7.2415794988399777E-3</v>
      </c>
      <c r="EQ27">
        <v>2.6516706989206117E-2</v>
      </c>
      <c r="ER27">
        <v>8.7028644834228425E-2</v>
      </c>
      <c r="ES27">
        <v>2.5938913636183222E-2</v>
      </c>
      <c r="ET27">
        <v>0.11316158900557544</v>
      </c>
      <c r="EU27">
        <v>1.9676572039222006E-3</v>
      </c>
      <c r="EV27">
        <v>1.887589147282517E-2</v>
      </c>
      <c r="EW27">
        <v>3.7429378430796058E-2</v>
      </c>
      <c r="EX27">
        <v>2.3250871601775058E-3</v>
      </c>
      <c r="EY27">
        <v>2.1506917601330385E-2</v>
      </c>
      <c r="EZ27">
        <v>3.2185909889983988E-2</v>
      </c>
      <c r="FA27">
        <v>1.3278259067418615E-2</v>
      </c>
      <c r="FB27">
        <v>2.4280747320203688E-2</v>
      </c>
      <c r="FC27">
        <v>6.237262046405688E-2</v>
      </c>
      <c r="FD27">
        <v>4.2034760909833345E-2</v>
      </c>
      <c r="FE27">
        <v>2.3423168940661463E-2</v>
      </c>
      <c r="FF27">
        <v>3.2396143554722846E-2</v>
      </c>
      <c r="FG27">
        <v>2.1735789072896347E-2</v>
      </c>
      <c r="FH27">
        <v>1.7488365806550492E-2</v>
      </c>
      <c r="FI27">
        <v>4.662230069480628E-2</v>
      </c>
      <c r="FJ27">
        <v>5.2998944455813924E-3</v>
      </c>
      <c r="FK27">
        <v>8.84093047993725E-3</v>
      </c>
      <c r="FL27">
        <v>7.8558099907991799E-2</v>
      </c>
      <c r="FM27">
        <v>5.8835861556254761E-2</v>
      </c>
      <c r="FN27">
        <v>6.2906971186921845E-2</v>
      </c>
      <c r="FO27">
        <v>4.2504040083521395E-3</v>
      </c>
      <c r="FP27">
        <v>1.6874563010806771E-2</v>
      </c>
      <c r="FQ27">
        <v>2.234034631604356E-2</v>
      </c>
      <c r="FR27">
        <v>4.7317500485187805E-2</v>
      </c>
      <c r="FS27">
        <v>1.3123029419955119E-2</v>
      </c>
      <c r="FT27">
        <v>4.0974763231436423E-2</v>
      </c>
      <c r="FU27">
        <v>6.9987965751346193E-2</v>
      </c>
      <c r="FV27">
        <v>2.1887844931674803E-2</v>
      </c>
      <c r="FW27">
        <v>5.4086343165638075E-2</v>
      </c>
      <c r="FX27">
        <v>6.8437218875796978E-3</v>
      </c>
      <c r="FY27">
        <v>1.5869688033136101E-2</v>
      </c>
      <c r="FZ27">
        <v>2.8930516847582247E-2</v>
      </c>
      <c r="GA27">
        <v>3.9760562719511748E-2</v>
      </c>
      <c r="GB27">
        <v>5.3313138937907661E-3</v>
      </c>
      <c r="GC27">
        <v>4.9419014601549023E-2</v>
      </c>
      <c r="GD27">
        <v>8.8342046334469911E-3</v>
      </c>
      <c r="GE27">
        <v>4.1705190028180107E-2</v>
      </c>
      <c r="GF27">
        <v>2.026573114954033E-2</v>
      </c>
      <c r="GG27">
        <v>5.9895637496318661E-2</v>
      </c>
      <c r="GH27">
        <v>5.1236960172891133E-3</v>
      </c>
      <c r="GI27">
        <v>2.2593134572878634E-2</v>
      </c>
      <c r="GJ27">
        <v>1.9697661650325073E-2</v>
      </c>
      <c r="GK27">
        <v>4.6904504225889439E-2</v>
      </c>
      <c r="GL27">
        <v>1.4031613670489879E-2</v>
      </c>
      <c r="GM27">
        <v>8.4804931355514888E-3</v>
      </c>
      <c r="GN27">
        <v>1.3403402233746317E-2</v>
      </c>
      <c r="GO27">
        <v>1.7218921697102572E-2</v>
      </c>
      <c r="GP27">
        <v>3.0140532037066521E-2</v>
      </c>
      <c r="GQ27">
        <v>1.057329968982754E-2</v>
      </c>
      <c r="GR27">
        <v>1.6537179285611252E-2</v>
      </c>
      <c r="GS27">
        <v>2.3546015501380142E-2</v>
      </c>
      <c r="GT27">
        <v>1.1844847675822223E-2</v>
      </c>
      <c r="GU27">
        <v>1.9274578154719713E-2</v>
      </c>
      <c r="GV27">
        <v>3.8252949980247884E-2</v>
      </c>
      <c r="GW27">
        <v>4.4326502625828572E-3</v>
      </c>
      <c r="GX27">
        <v>8.8165772578084903E-2</v>
      </c>
      <c r="GY27">
        <v>2.758634702355608E-3</v>
      </c>
      <c r="GZ27">
        <v>2.8722640835363951E-3</v>
      </c>
      <c r="HA27">
        <v>2.3276224946445524E-2</v>
      </c>
      <c r="HB27">
        <v>7.80308799716595E-2</v>
      </c>
      <c r="HC27">
        <v>2.1385673660249661E-2</v>
      </c>
      <c r="HD27">
        <v>1.0876025724898949E-2</v>
      </c>
      <c r="HE27">
        <v>2.0912637851776036E-2</v>
      </c>
      <c r="HF27">
        <v>9.4709998954374923E-3</v>
      </c>
      <c r="HG27">
        <v>5.7644715650029897E-2</v>
      </c>
      <c r="HH27">
        <v>2.4405303472464123E-2</v>
      </c>
      <c r="HI27">
        <v>7.3675694803456537E-2</v>
      </c>
      <c r="HJ27">
        <v>4.9391084061982506E-3</v>
      </c>
      <c r="HK27">
        <v>7.2380639512752962E-2</v>
      </c>
      <c r="HL27">
        <v>1.3201810561232074E-2</v>
      </c>
      <c r="HM27">
        <v>2.156655930989014E-2</v>
      </c>
      <c r="HN27">
        <v>3.0879050243933153E-2</v>
      </c>
      <c r="HO27">
        <v>1.9629581737934745E-2</v>
      </c>
      <c r="HP27">
        <v>2.9645693903227001E-2</v>
      </c>
      <c r="HQ27">
        <v>1.2630942404520454E-2</v>
      </c>
      <c r="HR27">
        <v>3.5115142630780249E-2</v>
      </c>
      <c r="HS27">
        <v>2.1086693744054114E-2</v>
      </c>
      <c r="HT27">
        <v>2.9270028502563369E-3</v>
      </c>
      <c r="HU27">
        <v>2.5420122434815125E-2</v>
      </c>
      <c r="HV27">
        <v>1.8246413318847597E-2</v>
      </c>
      <c r="HW27">
        <v>2.8054878216812133E-2</v>
      </c>
      <c r="HX27">
        <v>5.7189255784603548E-3</v>
      </c>
      <c r="HY27">
        <v>9.9850949829843137E-3</v>
      </c>
      <c r="HZ27">
        <v>1.1411792278119101E-2</v>
      </c>
      <c r="IA27">
        <v>4.0666153093488769E-2</v>
      </c>
      <c r="IB27">
        <v>2.7847942332777298E-3</v>
      </c>
      <c r="IC27">
        <v>2.2410175563075622E-3</v>
      </c>
      <c r="ID27">
        <v>2.317663201149538E-2</v>
      </c>
      <c r="IE27">
        <v>8.1600227929499378E-2</v>
      </c>
      <c r="IF27">
        <v>5.2055975936376897E-2</v>
      </c>
      <c r="IG27">
        <v>1.0316280658189493E-2</v>
      </c>
      <c r="IH27">
        <v>2.9686445147198183E-3</v>
      </c>
      <c r="II27">
        <v>1.7906797453091268E-2</v>
      </c>
      <c r="IJ27">
        <v>2.1017332844493999E-2</v>
      </c>
      <c r="IK27">
        <v>2.3417642528188804E-2</v>
      </c>
      <c r="IL27">
        <v>1.3013014441519137E-2</v>
      </c>
      <c r="IM27">
        <v>4.4893568685739488E-2</v>
      </c>
      <c r="IN27">
        <v>2.7185618507975393E-2</v>
      </c>
      <c r="IO27">
        <v>4.5456645740322224E-3</v>
      </c>
    </row>
    <row r="28" spans="5:249" x14ac:dyDescent="0.15">
      <c r="E28">
        <v>3.0122585693365733E-2</v>
      </c>
      <c r="F28">
        <v>8.8641524232171683E-4</v>
      </c>
      <c r="J28" s="17">
        <v>0.11873469541119151</v>
      </c>
      <c r="K28" s="17">
        <v>1.2533552072005169E-2</v>
      </c>
      <c r="L28" s="17">
        <v>2.3077857796540511E-2</v>
      </c>
      <c r="M28" s="17">
        <v>0.17482859872699541</v>
      </c>
      <c r="N28" s="17">
        <v>5.6144678022553934E-2</v>
      </c>
      <c r="O28" s="17">
        <v>1.8642420765091674E-2</v>
      </c>
      <c r="P28" s="17">
        <v>4.1022101331385806E-2</v>
      </c>
      <c r="Q28" s="17">
        <v>8.2013330236797126E-3</v>
      </c>
      <c r="R28" s="17">
        <v>1.3543702706016889E-2</v>
      </c>
      <c r="S28" s="17">
        <v>1.6046968749345719E-2</v>
      </c>
      <c r="T28">
        <v>4.8132973716468585E-3</v>
      </c>
      <c r="U28">
        <v>1.6216762700564845E-2</v>
      </c>
      <c r="V28">
        <v>7.5053364761569642E-3</v>
      </c>
      <c r="W28">
        <v>2.0961050764767907E-2</v>
      </c>
      <c r="X28">
        <v>1.8104362648690881E-2</v>
      </c>
      <c r="Y28">
        <v>2.7674853603939585E-2</v>
      </c>
      <c r="Z28">
        <v>8.6468201172196085E-3</v>
      </c>
      <c r="AA28">
        <v>3.0299209310329259E-2</v>
      </c>
      <c r="AB28">
        <v>2.6409405886657099E-2</v>
      </c>
      <c r="AC28">
        <v>6.0289731757177095E-3</v>
      </c>
      <c r="AD28">
        <v>2.1802477554659777E-2</v>
      </c>
      <c r="AE28">
        <v>3.4670552415557838E-2</v>
      </c>
      <c r="AF28">
        <v>6.7548154318226306E-2</v>
      </c>
      <c r="AG28">
        <v>4.5057686260901106E-3</v>
      </c>
      <c r="AH28">
        <v>2.9109197454064931E-2</v>
      </c>
      <c r="AI28">
        <v>2.0815313674069452E-2</v>
      </c>
      <c r="AJ28">
        <v>2.7757423380926943E-2</v>
      </c>
      <c r="AK28">
        <v>0.11791923091989828</v>
      </c>
      <c r="AL28">
        <v>1.9327487799922931E-2</v>
      </c>
      <c r="AM28">
        <v>1.3619950196528502E-2</v>
      </c>
      <c r="AN28">
        <v>2.765460694025634E-2</v>
      </c>
      <c r="AO28">
        <v>2.5502028452634724E-2</v>
      </c>
      <c r="AP28">
        <v>8.1483197622814005E-3</v>
      </c>
      <c r="AQ28">
        <v>6.3100345478985492E-2</v>
      </c>
      <c r="AR28">
        <v>3.2363785015342365E-2</v>
      </c>
      <c r="AS28">
        <v>7.5940086554543082E-2</v>
      </c>
      <c r="AT28">
        <v>1.3504177509975993E-2</v>
      </c>
      <c r="AU28">
        <v>1.2394582260543168E-2</v>
      </c>
      <c r="AV28">
        <v>6.8969737726165992E-2</v>
      </c>
      <c r="AW28">
        <v>4.2626363761950017E-2</v>
      </c>
      <c r="AX28">
        <v>2.3542253668123087E-2</v>
      </c>
      <c r="AY28">
        <v>7.9320655269991061E-2</v>
      </c>
      <c r="AZ28">
        <v>2.1232304345027302E-2</v>
      </c>
      <c r="BA28">
        <v>1.0124033127946424E-2</v>
      </c>
      <c r="BB28">
        <v>1.1504017672911489E-2</v>
      </c>
      <c r="BC28">
        <v>3.8569173824634213E-2</v>
      </c>
      <c r="BD28">
        <v>1.6015643193588322E-2</v>
      </c>
      <c r="BE28">
        <v>3.2754330993150213E-2</v>
      </c>
      <c r="BF28">
        <v>2.0233222226665386E-2</v>
      </c>
      <c r="BG28">
        <v>9.4890089722834928E-2</v>
      </c>
      <c r="BH28">
        <v>9.5295724594234299E-3</v>
      </c>
      <c r="BI28">
        <v>2.4420835292382596E-2</v>
      </c>
      <c r="BJ28">
        <v>1.8127039451808533E-2</v>
      </c>
      <c r="BK28">
        <v>2.1182647892528467E-2</v>
      </c>
      <c r="BL28">
        <v>1.8647487625402158E-2</v>
      </c>
      <c r="BM28">
        <v>7.3934931110265945E-2</v>
      </c>
      <c r="BN28">
        <v>1.8454376277481702E-2</v>
      </c>
      <c r="BO28">
        <v>3.6430998821781538E-2</v>
      </c>
      <c r="BP28">
        <v>1.2014145519090686E-2</v>
      </c>
      <c r="BQ28">
        <v>4.3979016804465129E-2</v>
      </c>
      <c r="BR28">
        <v>4.558056758500463E-2</v>
      </c>
      <c r="BS28">
        <v>2.3633337972927378E-2</v>
      </c>
      <c r="BT28">
        <v>1.9650686572808794E-2</v>
      </c>
      <c r="BU28">
        <v>4.0110475924918189E-3</v>
      </c>
      <c r="BV28">
        <v>1.7934276629032613E-2</v>
      </c>
      <c r="BW28">
        <v>2.2744288555225284E-2</v>
      </c>
      <c r="BX28">
        <v>1.3016909246122295E-2</v>
      </c>
      <c r="BY28">
        <v>1.8544546270666661E-2</v>
      </c>
      <c r="BZ28">
        <v>0.16879489008998949</v>
      </c>
      <c r="CA28">
        <v>4.1881197361350042E-2</v>
      </c>
      <c r="CB28">
        <v>9.3663685814191332E-3</v>
      </c>
      <c r="CC28">
        <v>1.4388696900506511E-2</v>
      </c>
      <c r="CD28">
        <v>2.4331365132234897E-2</v>
      </c>
      <c r="CE28">
        <v>1.9796270153068816E-2</v>
      </c>
      <c r="CF28">
        <v>3.4648107304452898E-2</v>
      </c>
      <c r="CG28">
        <v>5.5918454145476526E-2</v>
      </c>
      <c r="CH28">
        <v>2.2031221816136374E-2</v>
      </c>
      <c r="CI28">
        <v>1.0419075378729707E-2</v>
      </c>
      <c r="CJ28">
        <v>1.872344569002406E-2</v>
      </c>
      <c r="CK28">
        <v>3.2993567037535448E-2</v>
      </c>
      <c r="CL28">
        <v>5.5800390153848359E-3</v>
      </c>
      <c r="CM28">
        <v>1.0163906332314277E-2</v>
      </c>
      <c r="CN28">
        <v>7.2488247291243937E-2</v>
      </c>
      <c r="CO28">
        <v>3.2835678872829926E-2</v>
      </c>
      <c r="CP28">
        <v>2.9265795745489636E-2</v>
      </c>
      <c r="CQ28">
        <v>2.130584700614931E-2</v>
      </c>
      <c r="CR28">
        <v>1.1681490256069463E-2</v>
      </c>
      <c r="CS28">
        <v>6.048485776350903E-3</v>
      </c>
      <c r="CT28">
        <v>4.8790927713424581E-2</v>
      </c>
      <c r="CU28">
        <v>1.2576767758632985E-2</v>
      </c>
      <c r="CV28">
        <v>2.7322615515563572E-2</v>
      </c>
      <c r="CW28">
        <v>4.5958157393329716E-2</v>
      </c>
      <c r="CX28">
        <v>1.8128056828470289E-2</v>
      </c>
      <c r="CY28">
        <v>0.15382842086813373</v>
      </c>
      <c r="CZ28">
        <v>2.5978574203756655E-2</v>
      </c>
      <c r="DA28">
        <v>6.0963371254878683E-2</v>
      </c>
      <c r="DB28">
        <v>6.674692423049665E-3</v>
      </c>
      <c r="DC28">
        <v>5.2531526918146876E-3</v>
      </c>
      <c r="DD28">
        <v>1.235114900119904E-2</v>
      </c>
      <c r="DE28">
        <v>5.21888077387982E-2</v>
      </c>
      <c r="DF28">
        <v>4.6333505093826832E-2</v>
      </c>
      <c r="DG28">
        <v>8.0531973897200893E-3</v>
      </c>
      <c r="DH28">
        <v>3.3330163020185578E-2</v>
      </c>
      <c r="DI28">
        <v>1.8372871626801516E-2</v>
      </c>
      <c r="DJ28">
        <v>4.4720449895325427E-2</v>
      </c>
      <c r="DK28">
        <v>2.5524330369812963E-2</v>
      </c>
      <c r="DL28">
        <v>1.8011497354562114E-2</v>
      </c>
      <c r="DM28">
        <v>4.7864921223148255E-2</v>
      </c>
      <c r="DN28">
        <v>2.4337877431592818E-2</v>
      </c>
      <c r="DO28">
        <v>0.1970055546147228</v>
      </c>
      <c r="DP28">
        <v>1.428080202470846E-2</v>
      </c>
      <c r="DQ28">
        <v>3.0125948156148705E-2</v>
      </c>
      <c r="DR28">
        <v>1.9771326310598939E-3</v>
      </c>
      <c r="DS28">
        <v>1.0197216351209128E-2</v>
      </c>
      <c r="DT28">
        <v>2.5512215759726502E-2</v>
      </c>
      <c r="DU28">
        <v>1.3331474697688491E-2</v>
      </c>
      <c r="DV28">
        <v>8.6600121970401497E-3</v>
      </c>
      <c r="DW28">
        <v>2.0204778386591186E-2</v>
      </c>
      <c r="DX28">
        <v>3.5243243563270535E-3</v>
      </c>
      <c r="DY28">
        <v>4.5020835979486092E-2</v>
      </c>
      <c r="DZ28">
        <v>3.240440148862006E-2</v>
      </c>
      <c r="EA28">
        <v>1.130586578502003E-2</v>
      </c>
      <c r="EB28">
        <v>1.2252110474916098E-2</v>
      </c>
      <c r="EC28">
        <v>7.3377529163371147E-2</v>
      </c>
      <c r="ED28">
        <v>2.0604850853911472E-3</v>
      </c>
      <c r="EE28">
        <v>1.7827670941144864E-2</v>
      </c>
      <c r="EF28">
        <v>1.5976014578094375E-2</v>
      </c>
      <c r="EG28">
        <v>1.3291057309597058E-2</v>
      </c>
      <c r="EH28">
        <v>1.3026344986287372E-2</v>
      </c>
      <c r="EI28">
        <v>1.267964304716665E-2</v>
      </c>
      <c r="EJ28">
        <v>4.7993257887981745E-3</v>
      </c>
      <c r="EK28">
        <v>5.4392649600436646E-2</v>
      </c>
      <c r="EL28">
        <v>4.8887112313513986E-3</v>
      </c>
      <c r="EM28">
        <v>4.67549293587214E-3</v>
      </c>
      <c r="EN28">
        <v>1.6573373951702126E-2</v>
      </c>
      <c r="EO28">
        <v>1.1448674018934048E-2</v>
      </c>
      <c r="EP28">
        <v>5.5069602427843065E-3</v>
      </c>
      <c r="EQ28">
        <v>2.5375400374899909E-2</v>
      </c>
      <c r="ER28">
        <v>9.1379605139743816E-2</v>
      </c>
      <c r="ES28">
        <v>2.7819428939679692E-2</v>
      </c>
      <c r="ET28">
        <v>7.7589104398643347E-2</v>
      </c>
      <c r="EU28">
        <v>1.2920426271266713E-3</v>
      </c>
      <c r="EV28">
        <v>1.6285641795416E-2</v>
      </c>
      <c r="EW28">
        <v>2.9633508055366773E-2</v>
      </c>
      <c r="EX28">
        <v>3.6937009285111879E-3</v>
      </c>
      <c r="EY28">
        <v>1.777954674994451E-2</v>
      </c>
      <c r="EZ28">
        <v>3.1249189395850141E-2</v>
      </c>
      <c r="FA28">
        <v>1.4164021530943913E-2</v>
      </c>
      <c r="FB28">
        <v>1.8747894511467401E-2</v>
      </c>
      <c r="FC28">
        <v>3.8802706167112309E-2</v>
      </c>
      <c r="FD28">
        <v>4.8101067320948349E-2</v>
      </c>
      <c r="FE28">
        <v>2.5992166706413758E-2</v>
      </c>
      <c r="FF28">
        <v>2.9010451599426012E-2</v>
      </c>
      <c r="FG28">
        <v>4.5518250346665644E-2</v>
      </c>
      <c r="FH28">
        <v>1.0530063816196495E-2</v>
      </c>
      <c r="FI28">
        <v>5.9733666314257236E-2</v>
      </c>
      <c r="FJ28">
        <v>8.9275526092763725E-3</v>
      </c>
      <c r="FK28">
        <v>8.84530917189753E-3</v>
      </c>
      <c r="FL28">
        <v>0.11192884398686892</v>
      </c>
      <c r="FM28">
        <v>7.3132316425509894E-2</v>
      </c>
      <c r="FN28">
        <v>6.4426153029705766E-2</v>
      </c>
      <c r="FO28">
        <v>5.4307160208884589E-3</v>
      </c>
      <c r="FP28">
        <v>1.2071554118380168E-2</v>
      </c>
      <c r="FQ28">
        <v>3.014815334420486E-2</v>
      </c>
      <c r="FR28">
        <v>5.630558378445745E-2</v>
      </c>
      <c r="FS28">
        <v>7.8667809614635549E-3</v>
      </c>
      <c r="FT28">
        <v>3.8059596678339767E-2</v>
      </c>
      <c r="FU28">
        <v>7.1305947334149161E-2</v>
      </c>
      <c r="FV28">
        <v>2.4879748879202045E-2</v>
      </c>
      <c r="FW28">
        <v>4.4966877764819765E-2</v>
      </c>
      <c r="FX28">
        <v>5.2918523429559662E-3</v>
      </c>
      <c r="FY28">
        <v>2.1012908022201598E-2</v>
      </c>
      <c r="FZ28">
        <v>1.8212996772021331E-2</v>
      </c>
      <c r="GA28">
        <v>3.4447289899503249E-2</v>
      </c>
      <c r="GB28">
        <v>5.9141151459547814E-3</v>
      </c>
      <c r="GC28">
        <v>5.092687674276563E-2</v>
      </c>
      <c r="GD28">
        <v>1.0872129556227496E-2</v>
      </c>
      <c r="GE28">
        <v>3.6938088849507264E-2</v>
      </c>
      <c r="GF28">
        <v>2.8684682449078153E-2</v>
      </c>
      <c r="GG28">
        <v>7.6574508900126848E-2</v>
      </c>
      <c r="GH28">
        <v>5.5852898472661247E-3</v>
      </c>
      <c r="GI28">
        <v>2.1013279672641622E-2</v>
      </c>
      <c r="GJ28">
        <v>1.7652364567325218E-2</v>
      </c>
      <c r="GK28">
        <v>4.1946568565019458E-2</v>
      </c>
      <c r="GL28">
        <v>1.9512967169892963E-2</v>
      </c>
      <c r="GM28">
        <v>9.4702301973384577E-3</v>
      </c>
      <c r="GN28">
        <v>1.4178622077698984E-2</v>
      </c>
      <c r="GO28">
        <v>2.5789217496316501E-2</v>
      </c>
      <c r="GP28">
        <v>2.3969741214342304E-2</v>
      </c>
      <c r="GQ28">
        <v>1.0538638582715722E-2</v>
      </c>
      <c r="GR28">
        <v>1.3050048478464587E-2</v>
      </c>
      <c r="GS28">
        <v>2.1383452911177516E-2</v>
      </c>
      <c r="GT28">
        <v>1.9883357223506287E-2</v>
      </c>
      <c r="GU28">
        <v>1.8477757120345155E-2</v>
      </c>
      <c r="GV28">
        <v>5.1601794744303736E-2</v>
      </c>
      <c r="GW28">
        <v>5.1500670324962161E-3</v>
      </c>
      <c r="GX28">
        <v>5.6040320791808193E-2</v>
      </c>
      <c r="GY28">
        <v>2.7802455699117634E-3</v>
      </c>
      <c r="GZ28">
        <v>2.7902497881427436E-3</v>
      </c>
      <c r="HA28">
        <v>1.6432554141393042E-2</v>
      </c>
      <c r="HB28">
        <v>9.6189793667062429E-2</v>
      </c>
      <c r="HC28">
        <v>1.507577388237062E-2</v>
      </c>
      <c r="HD28">
        <v>1.1081979658693172E-2</v>
      </c>
      <c r="HE28">
        <v>1.4830717605887833E-2</v>
      </c>
      <c r="HF28">
        <v>9.9252604701596976E-3</v>
      </c>
      <c r="HG28">
        <v>5.288727013643562E-2</v>
      </c>
      <c r="HH28">
        <v>2.5128373990142439E-2</v>
      </c>
      <c r="HI28">
        <v>9.3161120955550583E-2</v>
      </c>
      <c r="HJ28">
        <v>7.146499325921889E-3</v>
      </c>
      <c r="HK28">
        <v>9.6446682041469223E-2</v>
      </c>
      <c r="HL28">
        <v>1.6406562875824302E-2</v>
      </c>
      <c r="HM28">
        <v>2.0303695776052108E-2</v>
      </c>
      <c r="HN28">
        <v>4.3756880596192406E-2</v>
      </c>
      <c r="HO28">
        <v>2.0111525249186035E-2</v>
      </c>
      <c r="HP28">
        <v>3.6923056292773884E-2</v>
      </c>
      <c r="HQ28">
        <v>1.1515128151938805E-2</v>
      </c>
      <c r="HR28">
        <v>4.0676718054929839E-2</v>
      </c>
      <c r="HS28">
        <v>2.5920031433176401E-2</v>
      </c>
      <c r="HT28">
        <v>4.2518044566613013E-3</v>
      </c>
      <c r="HU28">
        <v>3.462272221182143E-2</v>
      </c>
      <c r="HV28">
        <v>2.0951520615943381E-2</v>
      </c>
      <c r="HW28">
        <v>3.4415338455409575E-2</v>
      </c>
      <c r="HX28">
        <v>6.1931343639569491E-3</v>
      </c>
      <c r="HY28">
        <v>1.4307694893694465E-2</v>
      </c>
      <c r="HZ28">
        <v>9.2020063687588798E-3</v>
      </c>
      <c r="IA28">
        <v>2.8395763336019331E-2</v>
      </c>
      <c r="IB28">
        <v>4.5365790771547902E-3</v>
      </c>
      <c r="IC28">
        <v>3.3211489138698972E-3</v>
      </c>
      <c r="ID28">
        <v>2.0360264872225555E-2</v>
      </c>
      <c r="IE28">
        <v>8.4497238603432778E-2</v>
      </c>
      <c r="IF28">
        <v>8.9429754587775467E-2</v>
      </c>
      <c r="IG28">
        <v>9.5434783385814174E-3</v>
      </c>
      <c r="IH28">
        <v>2.6062993566501767E-3</v>
      </c>
      <c r="II28">
        <v>2.234463219301705E-2</v>
      </c>
      <c r="IJ28">
        <v>2.3183418467941641E-2</v>
      </c>
      <c r="IK28">
        <v>1.8987941712602905E-2</v>
      </c>
      <c r="IL28">
        <v>1.2297317376321382E-2</v>
      </c>
      <c r="IM28">
        <v>4.1503566938679418E-2</v>
      </c>
      <c r="IN28">
        <v>2.0847453530038203E-2</v>
      </c>
      <c r="IO28">
        <v>6.7293422193434533E-3</v>
      </c>
    </row>
    <row r="29" spans="5:249" x14ac:dyDescent="0.15">
      <c r="E29">
        <v>3.0462500593018846E-2</v>
      </c>
      <c r="F29">
        <v>9.5268954502405491E-4</v>
      </c>
      <c r="J29" s="17">
        <v>0.11572293272307718</v>
      </c>
      <c r="K29" s="17">
        <v>1.3189079594224981E-2</v>
      </c>
      <c r="L29" s="17">
        <v>3.8672164906221371E-2</v>
      </c>
      <c r="M29" s="17">
        <v>0.14966224340284945</v>
      </c>
      <c r="N29" s="17">
        <v>7.00326796383684E-2</v>
      </c>
      <c r="O29" s="17">
        <v>1.1632181146859755E-2</v>
      </c>
      <c r="P29" s="17">
        <v>3.8765840065392E-2</v>
      </c>
      <c r="Q29" s="17">
        <v>7.3544745210667823E-3</v>
      </c>
      <c r="R29" s="17">
        <v>1.3356770177698669E-2</v>
      </c>
      <c r="S29" s="17">
        <v>1.0369705146160747E-2</v>
      </c>
      <c r="T29">
        <v>4.539130525212447E-3</v>
      </c>
      <c r="U29">
        <v>1.7557295674828721E-2</v>
      </c>
      <c r="V29">
        <v>7.7935245019008885E-3</v>
      </c>
      <c r="W29">
        <v>2.1616730880371283E-2</v>
      </c>
      <c r="X29">
        <v>2.4880361713256367E-2</v>
      </c>
      <c r="Y29">
        <v>2.5213488750421436E-2</v>
      </c>
      <c r="Z29">
        <v>7.6044469178465652E-3</v>
      </c>
      <c r="AA29">
        <v>2.3092673450903531E-2</v>
      </c>
      <c r="AB29">
        <v>2.1748708963572356E-2</v>
      </c>
      <c r="AC29">
        <v>6.8818702918477352E-3</v>
      </c>
      <c r="AD29">
        <v>1.4093452997429283E-2</v>
      </c>
      <c r="AE29">
        <v>3.9338142795459559E-2</v>
      </c>
      <c r="AF29">
        <v>8.4977511668560546E-2</v>
      </c>
      <c r="AG29">
        <v>4.9771216374791347E-3</v>
      </c>
      <c r="AH29">
        <v>2.24389417225574E-2</v>
      </c>
      <c r="AI29">
        <v>2.8280423307169969E-2</v>
      </c>
      <c r="AJ29">
        <v>3.2072502764831208E-2</v>
      </c>
      <c r="AK29">
        <v>0.10597497193071435</v>
      </c>
      <c r="AL29">
        <v>1.9258888801039077E-2</v>
      </c>
      <c r="AM29">
        <v>1.9661568637746214E-2</v>
      </c>
      <c r="AN29">
        <v>1.7666901402296722E-2</v>
      </c>
      <c r="AO29">
        <v>2.4297645840409544E-2</v>
      </c>
      <c r="AP29">
        <v>4.9626875819350769E-3</v>
      </c>
      <c r="AQ29">
        <v>8.1740435764710975E-2</v>
      </c>
      <c r="AR29">
        <v>3.684400131766357E-2</v>
      </c>
      <c r="AS29">
        <v>7.471456553461106E-2</v>
      </c>
      <c r="AT29">
        <v>2.0279664118672436E-2</v>
      </c>
      <c r="AU29">
        <v>1.1634942791055262E-2</v>
      </c>
      <c r="AV29">
        <v>6.2563778343159973E-2</v>
      </c>
      <c r="AW29">
        <v>5.4445774723434003E-2</v>
      </c>
      <c r="AX29">
        <v>2.5547396824169254E-2</v>
      </c>
      <c r="AY29">
        <v>7.5196096570394319E-2</v>
      </c>
      <c r="AZ29">
        <v>2.1395615490734071E-2</v>
      </c>
      <c r="BA29">
        <v>8.04448752833028E-3</v>
      </c>
      <c r="BB29">
        <v>1.2289233398377616E-2</v>
      </c>
      <c r="BC29">
        <v>5.8230644768011819E-2</v>
      </c>
      <c r="BD29">
        <v>2.5309452307185221E-2</v>
      </c>
      <c r="BE29">
        <v>3.5533541386867123E-2</v>
      </c>
      <c r="BF29">
        <v>1.5739012124952791E-2</v>
      </c>
      <c r="BG29">
        <v>0.1201275079756771</v>
      </c>
      <c r="BH29">
        <v>1.0593938269372508E-2</v>
      </c>
      <c r="BI29">
        <v>2.5521074780212143E-2</v>
      </c>
      <c r="BJ29">
        <v>1.2698096588780383E-2</v>
      </c>
      <c r="BK29">
        <v>1.8543533796917085E-2</v>
      </c>
      <c r="BL29">
        <v>1.8578399973287561E-2</v>
      </c>
      <c r="BM29">
        <v>5.9690843181888352E-2</v>
      </c>
      <c r="BN29">
        <v>1.8234235898503079E-2</v>
      </c>
      <c r="BO29">
        <v>3.7632537526628144E-2</v>
      </c>
      <c r="BP29">
        <v>8.1556399830515387E-3</v>
      </c>
      <c r="BQ29">
        <v>3.6286718132446064E-2</v>
      </c>
      <c r="BR29">
        <v>4.7125282644611924E-2</v>
      </c>
      <c r="BS29">
        <v>2.2706435862797844E-2</v>
      </c>
      <c r="BT29">
        <v>2.3953409638494544E-2</v>
      </c>
      <c r="BU29">
        <v>3.9461249637468433E-3</v>
      </c>
      <c r="BV29">
        <v>1.3313383203424166E-2</v>
      </c>
      <c r="BW29">
        <v>2.357895476088365E-2</v>
      </c>
      <c r="BX29">
        <v>1.3667449342610062E-2</v>
      </c>
      <c r="BY29">
        <v>1.9468795777418741E-2</v>
      </c>
      <c r="BZ29">
        <v>0.1427672853307824</v>
      </c>
      <c r="CA29">
        <v>4.9605489870097629E-2</v>
      </c>
      <c r="CB29">
        <v>8.5577506983522886E-3</v>
      </c>
      <c r="CC29">
        <v>1.4731151598651614E-2</v>
      </c>
      <c r="CD29">
        <v>2.748891439069618E-2</v>
      </c>
      <c r="CE29">
        <v>1.6003993788491763E-2</v>
      </c>
      <c r="CF29">
        <v>2.6687486520878323E-2</v>
      </c>
      <c r="CG29">
        <v>5.9111506616968901E-2</v>
      </c>
      <c r="CH29">
        <v>2.5306219469553894E-2</v>
      </c>
      <c r="CI29">
        <v>9.1699024861414263E-3</v>
      </c>
      <c r="CJ29">
        <v>1.8488638565479075E-2</v>
      </c>
      <c r="CK29">
        <v>2.7644842603819011E-2</v>
      </c>
      <c r="CL29">
        <v>7.3003733448566907E-3</v>
      </c>
      <c r="CM29">
        <v>7.6346641332438233E-3</v>
      </c>
      <c r="CN29">
        <v>7.8376243225908443E-2</v>
      </c>
      <c r="CO29">
        <v>2.6710041256591342E-2</v>
      </c>
      <c r="CP29">
        <v>2.8713740216853561E-2</v>
      </c>
      <c r="CQ29">
        <v>1.5755684122179033E-2</v>
      </c>
      <c r="CR29">
        <v>1.835131375321342E-2</v>
      </c>
      <c r="CS29">
        <v>6.7941561791027638E-3</v>
      </c>
      <c r="CT29">
        <v>6.205934273816166E-2</v>
      </c>
      <c r="CU29">
        <v>1.0095574259867323E-2</v>
      </c>
      <c r="CV29">
        <v>2.5851951562015144E-2</v>
      </c>
      <c r="CW29">
        <v>6.1734649053928878E-2</v>
      </c>
      <c r="CX29">
        <v>8.7367420726692339E-3</v>
      </c>
      <c r="CY29">
        <v>0.17304316190221058</v>
      </c>
      <c r="CZ29">
        <v>2.1820342519299207E-2</v>
      </c>
      <c r="DA29">
        <v>4.4912274969833042E-2</v>
      </c>
      <c r="DB29">
        <v>5.0098196668996835E-3</v>
      </c>
      <c r="DC29">
        <v>3.7050761863372406E-3</v>
      </c>
      <c r="DD29">
        <v>9.7330843729042191E-3</v>
      </c>
      <c r="DE29">
        <v>5.7604710467492548E-2</v>
      </c>
      <c r="DF29">
        <v>6.1106336834397416E-2</v>
      </c>
      <c r="DG29">
        <v>8.1414400692316393E-3</v>
      </c>
      <c r="DH29">
        <v>3.2699175717387938E-2</v>
      </c>
      <c r="DI29">
        <v>9.9169798954657253E-3</v>
      </c>
      <c r="DJ29">
        <v>4.9670388011278391E-2</v>
      </c>
      <c r="DK29">
        <v>2.9591656457436125E-2</v>
      </c>
      <c r="DL29">
        <v>1.1589246759952938E-2</v>
      </c>
      <c r="DM29">
        <v>4.7164822731797638E-2</v>
      </c>
      <c r="DN29">
        <v>2.4889356442740897E-2</v>
      </c>
      <c r="DO29">
        <v>0.22119353981145451</v>
      </c>
      <c r="DP29">
        <v>1.5675966617401137E-2</v>
      </c>
      <c r="DQ29">
        <v>2.3508264080621524E-2</v>
      </c>
      <c r="DR29">
        <v>2.5731701220668424E-3</v>
      </c>
      <c r="DS29">
        <v>1.3581082716715438E-2</v>
      </c>
      <c r="DT29">
        <v>1.7529446928145911E-2</v>
      </c>
      <c r="DU29">
        <v>1.2018793906752478E-2</v>
      </c>
      <c r="DV29">
        <v>1.7078011905772881E-2</v>
      </c>
      <c r="DW29">
        <v>1.8684584833018415E-2</v>
      </c>
      <c r="DX29">
        <v>5.4570658577752949E-3</v>
      </c>
      <c r="DY29">
        <v>5.0462888447916687E-2</v>
      </c>
      <c r="DZ29">
        <v>6.0094105139972542E-2</v>
      </c>
      <c r="EA29">
        <v>7.5528632162666443E-3</v>
      </c>
      <c r="EB29">
        <v>9.1083455508508271E-3</v>
      </c>
      <c r="EC29">
        <v>8.1792798783826157E-2</v>
      </c>
      <c r="ED29">
        <v>2.1694620244464297E-3</v>
      </c>
      <c r="EE29">
        <v>3.0421021040638631E-2</v>
      </c>
      <c r="EF29">
        <v>1.6444399624112739E-2</v>
      </c>
      <c r="EG29">
        <v>1.001191462171107E-2</v>
      </c>
      <c r="EH29">
        <v>1.5164199130944396E-2</v>
      </c>
      <c r="EI29">
        <v>1.6313611768320791E-2</v>
      </c>
      <c r="EJ29">
        <v>4.6629960545463076E-3</v>
      </c>
      <c r="EK29">
        <v>7.1220299714685353E-2</v>
      </c>
      <c r="EL29">
        <v>5.4258429737198896E-3</v>
      </c>
      <c r="EM29">
        <v>4.4796002244754784E-3</v>
      </c>
      <c r="EN29">
        <v>1.0282106565546336E-2</v>
      </c>
      <c r="EO29">
        <v>8.7948869456498015E-3</v>
      </c>
      <c r="EP29">
        <v>6.7529418471468407E-3</v>
      </c>
      <c r="EQ29">
        <v>2.1403902566119608E-2</v>
      </c>
      <c r="ER29">
        <v>6.7177465209912107E-2</v>
      </c>
      <c r="ES29">
        <v>2.8452665213669962E-2</v>
      </c>
      <c r="ET29">
        <v>7.5689255587824703E-2</v>
      </c>
      <c r="EU29">
        <v>1.416078742055451E-3</v>
      </c>
      <c r="EV29">
        <v>1.1432348811261773E-2</v>
      </c>
      <c r="EW29">
        <v>3.4166600627565755E-2</v>
      </c>
      <c r="EX29">
        <v>4.8182862577763478E-3</v>
      </c>
      <c r="EY29">
        <v>1.8880566661788764E-2</v>
      </c>
      <c r="EZ29">
        <v>3.6488777178419439E-2</v>
      </c>
      <c r="FA29">
        <v>8.8306840712331306E-3</v>
      </c>
      <c r="FB29">
        <v>1.7786458711254224E-2</v>
      </c>
      <c r="FC29">
        <v>2.7119109213828485E-2</v>
      </c>
      <c r="FD29">
        <v>5.5535158335874413E-2</v>
      </c>
      <c r="FE29">
        <v>3.442840913228571E-2</v>
      </c>
      <c r="FF29">
        <v>2.0785903923827141E-2</v>
      </c>
      <c r="FG29">
        <v>4.8939340891912916E-2</v>
      </c>
      <c r="FH29">
        <v>1.1229336624554886E-2</v>
      </c>
      <c r="FI29">
        <v>5.0194218846428551E-2</v>
      </c>
      <c r="FJ29">
        <v>1.1357675178143843E-2</v>
      </c>
      <c r="FK29">
        <v>9.4183343818524928E-3</v>
      </c>
      <c r="FL29">
        <v>6.15142319963616E-2</v>
      </c>
      <c r="FM29">
        <v>6.8009758661355293E-2</v>
      </c>
      <c r="FN29">
        <v>7.3059656724509758E-2</v>
      </c>
      <c r="FO29">
        <v>5.6664327249834733E-3</v>
      </c>
      <c r="FP29">
        <v>1.6266558953058095E-2</v>
      </c>
      <c r="FQ29">
        <v>3.6436714099497204E-2</v>
      </c>
      <c r="FR29">
        <v>6.5505591125920998E-2</v>
      </c>
      <c r="FS29">
        <v>7.6359386692301454E-3</v>
      </c>
      <c r="FT29">
        <v>2.4620824331586064E-2</v>
      </c>
      <c r="FU29">
        <v>6.168173629306526E-2</v>
      </c>
      <c r="FV29">
        <v>2.1618853112500516E-2</v>
      </c>
      <c r="FW29">
        <v>6.2893424479322599E-2</v>
      </c>
      <c r="FX29">
        <v>5.5259005972046428E-3</v>
      </c>
      <c r="FY29">
        <v>1.526503982858906E-2</v>
      </c>
      <c r="FZ29">
        <v>1.8907487776202662E-2</v>
      </c>
      <c r="GA29">
        <v>3.7592451449087551E-2</v>
      </c>
      <c r="GB29">
        <v>7.2123897065923329E-3</v>
      </c>
      <c r="GC29">
        <v>6.8595949975273615E-2</v>
      </c>
      <c r="GD29">
        <v>9.4742607513556912E-3</v>
      </c>
      <c r="GE29">
        <v>2.4057385904696461E-2</v>
      </c>
      <c r="GF29">
        <v>2.645144617333901E-2</v>
      </c>
      <c r="GG29">
        <v>6.0451222335364832E-2</v>
      </c>
      <c r="GH29">
        <v>4.5434235912128716E-3</v>
      </c>
      <c r="GI29">
        <v>2.2384075847923356E-2</v>
      </c>
      <c r="GJ29">
        <v>1.6307521011507016E-2</v>
      </c>
      <c r="GK29">
        <v>5.5002227151608241E-2</v>
      </c>
      <c r="GL29">
        <v>1.8673346602574893E-2</v>
      </c>
      <c r="GM29">
        <v>7.0318052678870436E-3</v>
      </c>
      <c r="GN29">
        <v>1.1773418502356863E-2</v>
      </c>
      <c r="GO29">
        <v>2.8424312370290881E-2</v>
      </c>
      <c r="GP29">
        <v>2.9344744779049709E-2</v>
      </c>
      <c r="GQ29">
        <v>1.0223115444382378E-2</v>
      </c>
      <c r="GR29">
        <v>2.0135192994051219E-2</v>
      </c>
      <c r="GS29">
        <v>1.7414403911441421E-2</v>
      </c>
      <c r="GT29">
        <v>1.476805487093601E-2</v>
      </c>
      <c r="GU29">
        <v>1.3779466232012623E-2</v>
      </c>
      <c r="GV29">
        <v>7.3292659739216254E-2</v>
      </c>
      <c r="GW29">
        <v>4.3314344041633888E-3</v>
      </c>
      <c r="GX29">
        <v>4.8186862690154486E-2</v>
      </c>
      <c r="GY29">
        <v>4.0245097986295122E-3</v>
      </c>
      <c r="GZ29">
        <v>2.7189786930995044E-3</v>
      </c>
      <c r="HA29">
        <v>1.6569141951863806E-2</v>
      </c>
      <c r="HB29">
        <v>0.13293192913251548</v>
      </c>
      <c r="HC29">
        <v>1.7006234693883317E-2</v>
      </c>
      <c r="HD29">
        <v>1.009620060463849E-2</v>
      </c>
      <c r="HE29">
        <v>1.189531774076685E-2</v>
      </c>
      <c r="HF29">
        <v>8.9763707848170924E-3</v>
      </c>
      <c r="HG29">
        <v>3.1523375240402059E-2</v>
      </c>
      <c r="HH29">
        <v>2.2428411804566777E-2</v>
      </c>
      <c r="HI29">
        <v>0.12262178528733687</v>
      </c>
      <c r="HJ29">
        <v>4.7676485035827356E-3</v>
      </c>
      <c r="HK29">
        <v>8.910711930289679E-2</v>
      </c>
      <c r="HL29">
        <v>2.4579771041471039E-2</v>
      </c>
      <c r="HM29">
        <v>1.9622005066089594E-2</v>
      </c>
      <c r="HN29">
        <v>4.1011036692359636E-2</v>
      </c>
      <c r="HO29">
        <v>1.6442422407046717E-2</v>
      </c>
      <c r="HP29">
        <v>4.6742470446293496E-2</v>
      </c>
      <c r="HQ29">
        <v>4.2472874982273905E-3</v>
      </c>
      <c r="HR29">
        <v>6.903792088633201E-2</v>
      </c>
      <c r="HS29">
        <v>2.1438850278401561E-2</v>
      </c>
      <c r="HT29">
        <v>6.1629380509279057E-3</v>
      </c>
      <c r="HU29">
        <v>3.9863905838642966E-2</v>
      </c>
      <c r="HV29">
        <v>1.707855320934247E-2</v>
      </c>
      <c r="HW29">
        <v>2.7388605517747563E-2</v>
      </c>
      <c r="HX29">
        <v>5.0047062731562496E-3</v>
      </c>
      <c r="HY29">
        <v>1.4937261853960241E-2</v>
      </c>
      <c r="HZ29">
        <v>9.5392860320525335E-3</v>
      </c>
      <c r="IA29">
        <v>2.1955045906202418E-2</v>
      </c>
      <c r="IB29">
        <v>5.9649355934536293E-3</v>
      </c>
      <c r="IC29">
        <v>2.862371285382781E-3</v>
      </c>
      <c r="ID29">
        <v>1.6406494503026874E-2</v>
      </c>
      <c r="IE29">
        <v>7.3434956037401314E-2</v>
      </c>
      <c r="IF29">
        <v>6.1837127997937773E-2</v>
      </c>
      <c r="IG29">
        <v>1.0217094612434703E-2</v>
      </c>
      <c r="IH29">
        <v>3.3710105586454847E-3</v>
      </c>
      <c r="II29">
        <v>2.5078158685189134E-2</v>
      </c>
      <c r="IJ29">
        <v>2.6942613274893022E-2</v>
      </c>
      <c r="IK29">
        <v>3.0238477314477485E-2</v>
      </c>
      <c r="IL29">
        <v>9.9540875046612871E-3</v>
      </c>
      <c r="IM29">
        <v>5.1299905470571762E-2</v>
      </c>
      <c r="IN29">
        <v>2.4002865474977479E-2</v>
      </c>
      <c r="IO29">
        <v>6.3132455363037552E-3</v>
      </c>
    </row>
    <row r="30" spans="5:249" x14ac:dyDescent="0.15">
      <c r="E30">
        <v>3.0680439328464777E-2</v>
      </c>
      <c r="F30">
        <v>9.6906710769565827E-4</v>
      </c>
      <c r="J30" s="17">
        <v>7.5415793447695778E-2</v>
      </c>
      <c r="K30" s="17">
        <v>1.3400182549670177E-2</v>
      </c>
      <c r="L30" s="17">
        <v>3.9265418389838866E-2</v>
      </c>
      <c r="M30" s="17">
        <v>7.9363223342456726E-2</v>
      </c>
      <c r="N30" s="17">
        <v>5.8789678105263497E-2</v>
      </c>
      <c r="O30" s="17">
        <v>1.8706995924157168E-2</v>
      </c>
      <c r="P30" s="17">
        <v>3.1871775737789106E-2</v>
      </c>
      <c r="Q30" s="17">
        <v>4.5283170431194564E-3</v>
      </c>
      <c r="R30" s="17">
        <v>2.0412301579157414E-2</v>
      </c>
      <c r="S30" s="17">
        <v>1.4847636292965542E-2</v>
      </c>
      <c r="T30">
        <v>4.1638546681024369E-3</v>
      </c>
      <c r="U30">
        <v>1.8725683322976031E-2</v>
      </c>
      <c r="V30">
        <v>9.0384848974211854E-3</v>
      </c>
      <c r="W30">
        <v>2.5117589187716564E-2</v>
      </c>
      <c r="X30">
        <v>1.7661347500788134E-2</v>
      </c>
      <c r="Y30">
        <v>2.6649732804135511E-2</v>
      </c>
      <c r="Z30">
        <v>7.9293306389568875E-3</v>
      </c>
      <c r="AA30">
        <v>2.5703299743958463E-2</v>
      </c>
      <c r="AB30">
        <v>2.622470913885977E-2</v>
      </c>
      <c r="AC30">
        <v>5.3486514263599953E-3</v>
      </c>
      <c r="AD30">
        <v>1.4922661535592373E-2</v>
      </c>
      <c r="AE30">
        <v>3.2080149782065234E-2</v>
      </c>
      <c r="AF30">
        <v>7.141732897479687E-2</v>
      </c>
      <c r="AG30">
        <v>4.4209296837172275E-3</v>
      </c>
      <c r="AH30">
        <v>1.5156198664045498E-2</v>
      </c>
      <c r="AI30">
        <v>1.7615589971567116E-2</v>
      </c>
      <c r="AJ30">
        <v>4.2217762535622115E-2</v>
      </c>
      <c r="AK30">
        <v>0.11809372838668847</v>
      </c>
      <c r="AL30">
        <v>1.993041054336191E-2</v>
      </c>
      <c r="AM30">
        <v>1.4455414236845463E-2</v>
      </c>
      <c r="AN30">
        <v>1.971516516410339E-2</v>
      </c>
      <c r="AO30">
        <v>3.1347287603053046E-2</v>
      </c>
      <c r="AP30">
        <v>6.6784818491257055E-3</v>
      </c>
      <c r="AQ30">
        <v>9.2902555017664284E-2</v>
      </c>
      <c r="AR30">
        <v>3.8626062173488802E-2</v>
      </c>
      <c r="AS30">
        <v>7.573109477412289E-2</v>
      </c>
      <c r="AT30">
        <v>2.4816471670835772E-2</v>
      </c>
      <c r="AU30">
        <v>1.4619062177135947E-2</v>
      </c>
      <c r="AV30">
        <v>0.10313283805689459</v>
      </c>
      <c r="AW30">
        <v>4.4724587296339997E-2</v>
      </c>
      <c r="AX30">
        <v>1.7968995598934001E-2</v>
      </c>
      <c r="AY30">
        <v>7.9449891938002351E-2</v>
      </c>
      <c r="AZ30">
        <v>1.8861213800620127E-2</v>
      </c>
      <c r="BA30">
        <v>7.7613317041660187E-3</v>
      </c>
      <c r="BB30">
        <v>1.5229294198188902E-2</v>
      </c>
      <c r="BC30">
        <v>6.1506735125436141E-2</v>
      </c>
      <c r="BD30">
        <v>2.507004565782767E-2</v>
      </c>
      <c r="BE30">
        <v>3.5096600818361343E-2</v>
      </c>
      <c r="BF30">
        <v>1.6639412045939234E-2</v>
      </c>
      <c r="BG30">
        <v>0.11489205854617927</v>
      </c>
      <c r="BH30">
        <v>9.7846113229591181E-3</v>
      </c>
      <c r="BI30">
        <v>2.5915191685160398E-2</v>
      </c>
      <c r="BJ30">
        <v>1.7489850498727623E-2</v>
      </c>
      <c r="BK30">
        <v>2.3685542485171112E-2</v>
      </c>
      <c r="BL30">
        <v>2.7563973706513738E-2</v>
      </c>
      <c r="BM30">
        <v>6.9129612186028061E-2</v>
      </c>
      <c r="BN30">
        <v>1.5881414659063002E-2</v>
      </c>
      <c r="BO30">
        <v>4.3945211897798216E-2</v>
      </c>
      <c r="BP30">
        <v>6.5445430298297427E-3</v>
      </c>
      <c r="BQ30">
        <v>2.7177139016496505E-2</v>
      </c>
      <c r="BR30">
        <v>4.5889547827810198E-2</v>
      </c>
      <c r="BS30">
        <v>2.8768585367273797E-2</v>
      </c>
      <c r="BT30">
        <v>2.2019383978013663E-2</v>
      </c>
      <c r="BU30">
        <v>3.3544504575840758E-3</v>
      </c>
      <c r="BV30">
        <v>1.8427550482583495E-2</v>
      </c>
      <c r="BW30">
        <v>2.3456493757344609E-2</v>
      </c>
      <c r="BX30">
        <v>1.0193572565079446E-2</v>
      </c>
      <c r="BY30">
        <v>1.3893764628258348E-2</v>
      </c>
      <c r="BZ30">
        <v>0.13098241960790549</v>
      </c>
      <c r="CA30">
        <v>2.8877578773044123E-2</v>
      </c>
      <c r="CB30">
        <v>7.4916183727260915E-3</v>
      </c>
      <c r="CC30">
        <v>1.8507435459027964E-2</v>
      </c>
      <c r="CD30">
        <v>2.3543655119675766E-2</v>
      </c>
      <c r="CE30">
        <v>2.0195889621197425E-2</v>
      </c>
      <c r="CF30">
        <v>2.8511065360233075E-2</v>
      </c>
      <c r="CG30">
        <v>4.9771985196727923E-2</v>
      </c>
      <c r="CH30">
        <v>2.8500464095246564E-2</v>
      </c>
      <c r="CI30">
        <v>5.8930597779386414E-3</v>
      </c>
      <c r="CJ30">
        <v>1.0275369664054811E-2</v>
      </c>
      <c r="CK30">
        <v>2.6936844629517131E-2</v>
      </c>
      <c r="CL30">
        <v>6.2430440716786974E-3</v>
      </c>
      <c r="CM30">
        <v>1.1215948592885654E-2</v>
      </c>
      <c r="CN30">
        <v>8.9939410902697164E-2</v>
      </c>
      <c r="CO30">
        <v>2.3615925613088288E-2</v>
      </c>
      <c r="CP30">
        <v>3.3059703351001203E-2</v>
      </c>
      <c r="CQ30">
        <v>1.2153482713758709E-2</v>
      </c>
      <c r="CR30">
        <v>1.8929420090018564E-2</v>
      </c>
      <c r="CS30">
        <v>5.9775246896578644E-3</v>
      </c>
      <c r="CT30">
        <v>6.5463119437976544E-2</v>
      </c>
      <c r="CU30">
        <v>1.3055707909867296E-2</v>
      </c>
      <c r="CV30">
        <v>2.9194972767453319E-2</v>
      </c>
      <c r="CW30">
        <v>6.4706074698239593E-2</v>
      </c>
      <c r="CX30">
        <v>5.2103223880532144E-3</v>
      </c>
      <c r="CY30">
        <v>0.17060563931627237</v>
      </c>
      <c r="CZ30">
        <v>2.1903937221754405E-2</v>
      </c>
      <c r="DA30">
        <v>5.5471886418767512E-2</v>
      </c>
      <c r="DB30">
        <v>4.5218484208691036E-3</v>
      </c>
      <c r="DC30">
        <v>4.0144906080472565E-3</v>
      </c>
      <c r="DD30">
        <v>1.7972800074418444E-2</v>
      </c>
      <c r="DE30">
        <v>6.9291056563023687E-2</v>
      </c>
      <c r="DF30">
        <v>6.2033055346889222E-2</v>
      </c>
      <c r="DG30">
        <v>1.0163959865686432E-2</v>
      </c>
      <c r="DH30">
        <v>3.9153989670054977E-2</v>
      </c>
      <c r="DI30">
        <v>1.2152844974458871E-2</v>
      </c>
      <c r="DJ30">
        <v>6.2494392810538632E-2</v>
      </c>
      <c r="DK30">
        <v>2.0340029622338912E-2</v>
      </c>
      <c r="DL30">
        <v>8.7150767901930729E-3</v>
      </c>
      <c r="DM30">
        <v>4.6368650018290478E-2</v>
      </c>
      <c r="DN30">
        <v>1.2142209683789455E-2</v>
      </c>
      <c r="DO30">
        <v>0.2118915865867641</v>
      </c>
      <c r="DP30">
        <v>1.4229594433412611E-2</v>
      </c>
      <c r="DQ30">
        <v>2.4921329916722575E-2</v>
      </c>
      <c r="DR30">
        <v>3.0594898755784308E-3</v>
      </c>
      <c r="DS30">
        <v>1.5809325228905831E-2</v>
      </c>
      <c r="DT30">
        <v>1.8530914110037953E-2</v>
      </c>
      <c r="DU30">
        <v>8.389794325554964E-3</v>
      </c>
      <c r="DV30">
        <v>2.0782411488762188E-2</v>
      </c>
      <c r="DW30">
        <v>9.9560154787206694E-3</v>
      </c>
      <c r="DX30">
        <v>6.5688414781576087E-3</v>
      </c>
      <c r="DY30">
        <v>3.9214224947220405E-2</v>
      </c>
      <c r="DZ30">
        <v>5.3566867372112456E-2</v>
      </c>
      <c r="EA30">
        <v>8.3127755898095637E-3</v>
      </c>
      <c r="EB30">
        <v>4.5020655227543671E-3</v>
      </c>
      <c r="EC30">
        <v>9.2257268668218803E-2</v>
      </c>
      <c r="ED30">
        <v>2.1240095756863264E-3</v>
      </c>
      <c r="EE30">
        <v>4.5740810180946494E-2</v>
      </c>
      <c r="EF30">
        <v>1.2793073110614913E-2</v>
      </c>
      <c r="EG30">
        <v>1.0574617991442107E-2</v>
      </c>
      <c r="EH30">
        <v>1.8781281709633672E-2</v>
      </c>
      <c r="EI30">
        <v>1.6238079636037749E-2</v>
      </c>
      <c r="EJ30">
        <v>5.4855679298140394E-3</v>
      </c>
      <c r="EK30">
        <v>6.4615935391208787E-2</v>
      </c>
      <c r="EL30">
        <v>4.3456475808962419E-3</v>
      </c>
      <c r="EM30">
        <v>4.2326765401445371E-3</v>
      </c>
      <c r="EN30">
        <v>1.034379552379679E-2</v>
      </c>
      <c r="EO30">
        <v>1.2576337442860915E-2</v>
      </c>
      <c r="EP30">
        <v>8.1139382591802738E-3</v>
      </c>
      <c r="EQ30">
        <v>1.903128460022362E-2</v>
      </c>
      <c r="ER30">
        <v>7.8756481880476736E-2</v>
      </c>
      <c r="ES30">
        <v>3.1251258781867144E-2</v>
      </c>
      <c r="ET30">
        <v>5.2495535851961803E-2</v>
      </c>
      <c r="EU30">
        <v>1.5478160924533521E-3</v>
      </c>
      <c r="EV30">
        <v>1.0280574288164999E-2</v>
      </c>
      <c r="EW30">
        <v>3.7273384996339559E-2</v>
      </c>
      <c r="EX30">
        <v>4.7830213446076429E-3</v>
      </c>
      <c r="EY30">
        <v>1.8388521266559078E-2</v>
      </c>
      <c r="EZ30">
        <v>4.1620255221325154E-2</v>
      </c>
      <c r="FA30">
        <v>1.4653082073892909E-2</v>
      </c>
      <c r="FB30">
        <v>1.2777445968806068E-2</v>
      </c>
      <c r="FC30">
        <v>2.3463499782801926E-2</v>
      </c>
      <c r="FD30">
        <v>5.7570307099670821E-2</v>
      </c>
      <c r="FE30">
        <v>3.7940038814386068E-2</v>
      </c>
      <c r="FF30">
        <v>2.0144109112646885E-2</v>
      </c>
      <c r="FG30">
        <v>5.4126116649110809E-2</v>
      </c>
      <c r="FH30">
        <v>7.3545633046268573E-3</v>
      </c>
      <c r="FI30">
        <v>3.1449743384534226E-2</v>
      </c>
      <c r="FJ30">
        <v>1.2601639058304146E-2</v>
      </c>
      <c r="FK30">
        <v>9.5095955251425571E-3</v>
      </c>
      <c r="FL30">
        <v>5.1717593046483094E-2</v>
      </c>
      <c r="FM30">
        <v>9.9016755246044266E-2</v>
      </c>
      <c r="FN30">
        <v>5.7773620528987477E-2</v>
      </c>
      <c r="FO30">
        <v>4.5382690536850973E-3</v>
      </c>
      <c r="FP30">
        <v>1.5769694999745322E-2</v>
      </c>
      <c r="FQ30">
        <v>3.4704961402702399E-2</v>
      </c>
      <c r="FR30">
        <v>9.3673494502983914E-2</v>
      </c>
      <c r="FS30">
        <v>7.4799259326578556E-3</v>
      </c>
      <c r="FT30">
        <v>2.8185464127925778E-2</v>
      </c>
      <c r="FU30">
        <v>3.6937551000756942E-2</v>
      </c>
      <c r="FV30">
        <v>3.0034822601374658E-2</v>
      </c>
      <c r="FW30">
        <v>5.9212538353148568E-2</v>
      </c>
      <c r="FX30">
        <v>5.0530606229774342E-3</v>
      </c>
      <c r="FY30">
        <v>1.4397094262782215E-2</v>
      </c>
      <c r="FZ30">
        <v>2.046685659926361E-2</v>
      </c>
      <c r="GA30">
        <v>3.2633343636067194E-2</v>
      </c>
      <c r="GB30">
        <v>7.5864829117748677E-3</v>
      </c>
      <c r="GC30">
        <v>8.6271835540009167E-2</v>
      </c>
      <c r="GD30">
        <v>1.4135160769097545E-2</v>
      </c>
      <c r="GE30">
        <v>1.8509221877333438E-2</v>
      </c>
      <c r="GF30">
        <v>2.147603057931409E-2</v>
      </c>
      <c r="GG30">
        <v>6.9396653230526767E-2</v>
      </c>
      <c r="GH30">
        <v>5.0719765151265219E-3</v>
      </c>
      <c r="GI30">
        <v>2.2754385908168303E-2</v>
      </c>
      <c r="GJ30">
        <v>1.7414158740356837E-2</v>
      </c>
      <c r="GK30">
        <v>5.5062189532616518E-2</v>
      </c>
      <c r="GL30">
        <v>1.7362411379272462E-2</v>
      </c>
      <c r="GM30">
        <v>6.5465922827790375E-3</v>
      </c>
      <c r="GN30">
        <v>1.3503993526749586E-2</v>
      </c>
      <c r="GO30">
        <v>3.3258063886399111E-2</v>
      </c>
      <c r="GP30">
        <v>3.6145059093368112E-2</v>
      </c>
      <c r="GQ30">
        <v>1.3221062371399823E-2</v>
      </c>
      <c r="GR30">
        <v>1.4001880831786809E-2</v>
      </c>
      <c r="GS30">
        <v>2.0066730497485027E-2</v>
      </c>
      <c r="GT30">
        <v>2.0962729000729853E-2</v>
      </c>
      <c r="GU30">
        <v>1.4742691663232468E-2</v>
      </c>
      <c r="GV30">
        <v>7.2847482209216025E-2</v>
      </c>
      <c r="GW30">
        <v>4.1522624285479154E-3</v>
      </c>
      <c r="GX30">
        <v>5.1392650450054936E-2</v>
      </c>
      <c r="GY30">
        <v>4.5264176679099682E-3</v>
      </c>
      <c r="GZ30">
        <v>2.6704286634756727E-3</v>
      </c>
      <c r="HA30">
        <v>1.5320339781648493E-2</v>
      </c>
      <c r="HB30">
        <v>0.15827178232965849</v>
      </c>
      <c r="HC30">
        <v>2.0953238072472402E-2</v>
      </c>
      <c r="HD30">
        <v>5.9137596691510854E-3</v>
      </c>
      <c r="HE30">
        <v>1.1241467146700084E-2</v>
      </c>
      <c r="HF30">
        <v>7.6481193112730777E-3</v>
      </c>
      <c r="HG30">
        <v>3.6312473979221105E-2</v>
      </c>
      <c r="HH30">
        <v>2.1256683456280141E-2</v>
      </c>
      <c r="HI30">
        <v>0.15673535284783557</v>
      </c>
      <c r="HJ30">
        <v>6.3597309524276455E-3</v>
      </c>
      <c r="HK30">
        <v>8.8503558439424715E-2</v>
      </c>
      <c r="HL30">
        <v>2.7105775446711923E-2</v>
      </c>
      <c r="HM30">
        <v>2.4408033742416218E-2</v>
      </c>
      <c r="HN30">
        <v>4.3147782072154327E-2</v>
      </c>
      <c r="HO30">
        <v>2.4524842147245957E-2</v>
      </c>
      <c r="HP30">
        <v>5.0464374727198488E-2</v>
      </c>
      <c r="HQ30">
        <v>3.6297438268503074E-3</v>
      </c>
      <c r="HR30">
        <v>7.7915424696845328E-2</v>
      </c>
      <c r="HS30">
        <v>2.9448529438331986E-2</v>
      </c>
      <c r="HT30">
        <v>3.5470900698448189E-3</v>
      </c>
      <c r="HU30">
        <v>4.2930074637126538E-2</v>
      </c>
      <c r="HV30">
        <v>1.1226050699755501E-2</v>
      </c>
      <c r="HW30">
        <v>3.8553875093215131E-2</v>
      </c>
      <c r="HX30">
        <v>3.7583877249587868E-3</v>
      </c>
      <c r="HY30">
        <v>2.2679035438476845E-2</v>
      </c>
      <c r="HZ30">
        <v>1.4207882345890354E-2</v>
      </c>
      <c r="IA30">
        <v>1.9464718272220401E-2</v>
      </c>
      <c r="IB30">
        <v>7.1037727998645933E-3</v>
      </c>
      <c r="IC30">
        <v>3.0246692300420022E-3</v>
      </c>
      <c r="ID30">
        <v>1.851779461994171E-2</v>
      </c>
      <c r="IE30">
        <v>3.8799680940557191E-2</v>
      </c>
      <c r="IF30">
        <v>7.790738025124673E-2</v>
      </c>
      <c r="IG30">
        <v>7.4336363385007174E-3</v>
      </c>
      <c r="IH30">
        <v>4.0946169127666944E-3</v>
      </c>
      <c r="II30">
        <v>2.6912627858486325E-2</v>
      </c>
      <c r="IJ30">
        <v>2.2437984942321958E-2</v>
      </c>
      <c r="IK30">
        <v>4.131851196036105E-2</v>
      </c>
      <c r="IL30">
        <v>7.9736746048086893E-3</v>
      </c>
      <c r="IM30">
        <v>3.3054810013426084E-2</v>
      </c>
      <c r="IN30">
        <v>1.6530337212986572E-2</v>
      </c>
      <c r="IO30">
        <v>6.0559511808170787E-3</v>
      </c>
    </row>
    <row r="31" spans="5:249" x14ac:dyDescent="0.15">
      <c r="E31">
        <v>3.0276811825114814E-2</v>
      </c>
      <c r="F31">
        <v>8.8724982296492147E-4</v>
      </c>
      <c r="J31" s="17">
        <v>0.11755945130497265</v>
      </c>
      <c r="K31" s="17">
        <v>1.3699892508606752E-2</v>
      </c>
      <c r="L31" s="17">
        <v>3.6101035659030264E-2</v>
      </c>
      <c r="M31" s="17">
        <v>9.1327771244261641E-2</v>
      </c>
      <c r="N31" s="17">
        <v>7.8637604637186664E-2</v>
      </c>
      <c r="O31" s="17">
        <v>1.3917573903157674E-2</v>
      </c>
      <c r="P31" s="17">
        <v>3.2926188858701654E-2</v>
      </c>
      <c r="Q31" s="17">
        <v>5.1725075779131191E-3</v>
      </c>
      <c r="R31" s="17">
        <v>2.7200226139168254E-2</v>
      </c>
      <c r="S31" s="17">
        <v>1.5947137853608087E-2</v>
      </c>
      <c r="T31">
        <v>3.2393226343228002E-3</v>
      </c>
      <c r="U31">
        <v>2.1933689801858735E-2</v>
      </c>
      <c r="V31">
        <v>6.6035460737598741E-3</v>
      </c>
      <c r="W31">
        <v>2.8028040030830807E-2</v>
      </c>
      <c r="X31">
        <v>2.0306339920122252E-2</v>
      </c>
      <c r="Y31">
        <v>2.1391252378061755E-2</v>
      </c>
      <c r="Z31">
        <v>6.894789809242791E-3</v>
      </c>
      <c r="AA31">
        <v>2.202444156136792E-2</v>
      </c>
      <c r="AB31">
        <v>2.4803811088966621E-2</v>
      </c>
      <c r="AC31">
        <v>1.117293963408195E-2</v>
      </c>
      <c r="AD31">
        <v>1.811894378413826E-2</v>
      </c>
      <c r="AE31">
        <v>1.9403203908193119E-2</v>
      </c>
      <c r="AF31">
        <v>4.6901457824912389E-2</v>
      </c>
      <c r="AG31">
        <v>5.2923231046968656E-3</v>
      </c>
      <c r="AH31">
        <v>2.3926078247517048E-2</v>
      </c>
      <c r="AI31">
        <v>2.0638839729629418E-2</v>
      </c>
      <c r="AJ31">
        <v>3.0885390734881467E-2</v>
      </c>
      <c r="AK31">
        <v>9.2162032766695351E-2</v>
      </c>
      <c r="AL31">
        <v>3.2783494736991728E-2</v>
      </c>
      <c r="AM31">
        <v>2.4637360139320996E-2</v>
      </c>
      <c r="AN31">
        <v>1.6473272704786768E-2</v>
      </c>
      <c r="AO31">
        <v>2.9815439079079718E-2</v>
      </c>
      <c r="AP31">
        <v>8.7013115342118013E-3</v>
      </c>
      <c r="AQ31">
        <v>0.10959120631606986</v>
      </c>
      <c r="AR31">
        <v>3.2914936320075222E-2</v>
      </c>
      <c r="AS31">
        <v>0.11052756129946993</v>
      </c>
      <c r="AT31">
        <v>2.0120462989186131E-2</v>
      </c>
      <c r="AU31">
        <v>9.0270604234064279E-3</v>
      </c>
      <c r="AV31">
        <v>3.9484738052696179E-2</v>
      </c>
      <c r="AW31">
        <v>3.8859689735032975E-2</v>
      </c>
      <c r="AX31">
        <v>2.1142387430394493E-2</v>
      </c>
      <c r="AY31">
        <v>0.11341676255422695</v>
      </c>
      <c r="AZ31">
        <v>1.5321108460245713E-2</v>
      </c>
      <c r="BA31">
        <v>9.1679075019725498E-3</v>
      </c>
      <c r="BB31">
        <v>1.5177452550343848E-2</v>
      </c>
      <c r="BC31">
        <v>5.2465361305425263E-2</v>
      </c>
      <c r="BD31">
        <v>2.6462879817160192E-2</v>
      </c>
      <c r="BE31">
        <v>2.8827988383736035E-2</v>
      </c>
      <c r="BF31">
        <v>2.0387547867662583E-2</v>
      </c>
      <c r="BG31">
        <v>6.1325619070707493E-2</v>
      </c>
      <c r="BH31">
        <v>1.2657989208534719E-2</v>
      </c>
      <c r="BI31">
        <v>2.1442996937823158E-2</v>
      </c>
      <c r="BJ31">
        <v>1.7225642387135476E-2</v>
      </c>
      <c r="BK31">
        <v>2.4008968924202879E-2</v>
      </c>
      <c r="BL31">
        <v>3.5546910827660955E-2</v>
      </c>
      <c r="BM31">
        <v>8.1515827841697155E-2</v>
      </c>
      <c r="BN31">
        <v>1.1662845915613063E-2</v>
      </c>
      <c r="BO31">
        <v>5.183599184655046E-2</v>
      </c>
      <c r="BP31">
        <v>6.627078099327382E-3</v>
      </c>
      <c r="BQ31">
        <v>2.8084513675108617E-2</v>
      </c>
      <c r="BR31">
        <v>4.740856017290903E-2</v>
      </c>
      <c r="BS31">
        <v>2.2709989290328719E-2</v>
      </c>
      <c r="BT31">
        <v>2.0244199821758336E-2</v>
      </c>
      <c r="BU31">
        <v>4.3312124791257895E-3</v>
      </c>
      <c r="BV31">
        <v>1.3970576301785605E-2</v>
      </c>
      <c r="BW31">
        <v>3.2072900896412265E-2</v>
      </c>
      <c r="BX31">
        <v>1.1808209613809845E-2</v>
      </c>
      <c r="BY31">
        <v>8.599500292000576E-3</v>
      </c>
      <c r="BZ31">
        <v>9.465322799682957E-2</v>
      </c>
      <c r="CA31">
        <v>3.2317647002730883E-2</v>
      </c>
      <c r="CB31">
        <v>7.0758933362215469E-3</v>
      </c>
      <c r="CC31">
        <v>1.8687685616222867E-2</v>
      </c>
      <c r="CD31">
        <v>2.5142267763002987E-2</v>
      </c>
      <c r="CE31">
        <v>2.1554918113412015E-2</v>
      </c>
      <c r="CF31">
        <v>1.7664302220303768E-2</v>
      </c>
      <c r="CG31">
        <v>5.7298392504015271E-2</v>
      </c>
      <c r="CH31">
        <v>2.1353690247680503E-2</v>
      </c>
      <c r="CI31">
        <v>5.6062694506233161E-3</v>
      </c>
      <c r="CJ31">
        <v>8.8914945000512884E-3</v>
      </c>
      <c r="CK31">
        <v>3.5730993332132595E-2</v>
      </c>
      <c r="CL31">
        <v>8.0135885669596479E-3</v>
      </c>
      <c r="CM31">
        <v>9.8669397449617138E-3</v>
      </c>
      <c r="CN31">
        <v>9.952370980633575E-2</v>
      </c>
      <c r="CO31">
        <v>1.7197840383468044E-2</v>
      </c>
      <c r="CP31">
        <v>2.6721656588979514E-2</v>
      </c>
      <c r="CQ31">
        <v>1.2295607577968541E-2</v>
      </c>
      <c r="CR31">
        <v>2.9903400254170386E-2</v>
      </c>
      <c r="CS31">
        <v>6.7162643736923995E-3</v>
      </c>
      <c r="CT31">
        <v>5.9864752047312376E-2</v>
      </c>
      <c r="CU31">
        <v>1.1028230474345792E-2</v>
      </c>
      <c r="CV31">
        <v>2.437825488848018E-2</v>
      </c>
      <c r="CW31">
        <v>4.8704850918380685E-2</v>
      </c>
      <c r="CX31">
        <v>4.2414865425579882E-3</v>
      </c>
      <c r="CY31">
        <v>0.14269644442665722</v>
      </c>
      <c r="CZ31">
        <v>1.9066351095851725E-2</v>
      </c>
      <c r="DA31">
        <v>3.735714023434264E-2</v>
      </c>
      <c r="DB31">
        <v>2.7184348308561495E-3</v>
      </c>
      <c r="DC31">
        <v>5.92639259965604E-3</v>
      </c>
      <c r="DD31">
        <v>2.5667967519082058E-2</v>
      </c>
      <c r="DE31">
        <v>5.7181184091575847E-2</v>
      </c>
      <c r="DF31">
        <v>7.1150508205954394E-2</v>
      </c>
      <c r="DG31">
        <v>1.5491667413866372E-2</v>
      </c>
      <c r="DH31">
        <v>2.9976480906002433E-2</v>
      </c>
      <c r="DI31">
        <v>1.0192218373556938E-2</v>
      </c>
      <c r="DJ31">
        <v>6.3964225506272843E-2</v>
      </c>
      <c r="DK31">
        <v>2.0861918266599919E-2</v>
      </c>
      <c r="DL31">
        <v>7.7734762713075629E-3</v>
      </c>
      <c r="DM31">
        <v>5.7481702642135993E-2</v>
      </c>
      <c r="DN31">
        <v>1.5226371074915231E-2</v>
      </c>
      <c r="DO31">
        <v>0.15791181649508737</v>
      </c>
      <c r="DP31">
        <v>1.6063881097557599E-2</v>
      </c>
      <c r="DQ31">
        <v>1.770210967637334E-2</v>
      </c>
      <c r="DR31">
        <v>2.9639842698306914E-3</v>
      </c>
      <c r="DS31">
        <v>1.0857321147984088E-2</v>
      </c>
      <c r="DT31">
        <v>2.2752551536144094E-2</v>
      </c>
      <c r="DU31">
        <v>8.0092631923820365E-3</v>
      </c>
      <c r="DV31">
        <v>2.1759151538640581E-2</v>
      </c>
      <c r="DW31">
        <v>1.2475689138997822E-2</v>
      </c>
      <c r="DX31">
        <v>7.6590790850660471E-3</v>
      </c>
      <c r="DY31">
        <v>5.1647774618350073E-2</v>
      </c>
      <c r="DZ31">
        <v>5.1741737631721775E-2</v>
      </c>
      <c r="EA31">
        <v>6.8345384218538793E-3</v>
      </c>
      <c r="EB31">
        <v>5.587690827016387E-3</v>
      </c>
      <c r="EC31">
        <v>0.10651449864906877</v>
      </c>
      <c r="ED31">
        <v>1.7631945024194052E-3</v>
      </c>
      <c r="EE31">
        <v>3.78841542097638E-2</v>
      </c>
      <c r="EF31">
        <v>1.5379293345403005E-2</v>
      </c>
      <c r="EG31">
        <v>1.1007118024347121E-2</v>
      </c>
      <c r="EH31">
        <v>2.0167272047973472E-2</v>
      </c>
      <c r="EI31">
        <v>1.6873612385179947E-2</v>
      </c>
      <c r="EJ31">
        <v>5.5217222278973604E-3</v>
      </c>
      <c r="EK31">
        <v>6.6837290070574082E-2</v>
      </c>
      <c r="EL31">
        <v>4.7734099038266881E-3</v>
      </c>
      <c r="EM31">
        <v>2.5875527225692136E-3</v>
      </c>
      <c r="EN31">
        <v>7.3844391406416281E-3</v>
      </c>
      <c r="EO31">
        <v>1.4898361160039033E-2</v>
      </c>
      <c r="EP31">
        <v>1.1290700302782971E-2</v>
      </c>
      <c r="EQ31">
        <v>1.8065683839508965E-2</v>
      </c>
      <c r="ER31">
        <v>6.4315193745821578E-2</v>
      </c>
      <c r="ES31">
        <v>2.9876691138772879E-2</v>
      </c>
      <c r="ET31">
        <v>6.742520071879278E-2</v>
      </c>
      <c r="EU31">
        <v>1.7981428744238608E-3</v>
      </c>
      <c r="EV31">
        <v>1.6209286006438648E-2</v>
      </c>
      <c r="EW31">
        <v>3.2417615347787525E-2</v>
      </c>
      <c r="EX31">
        <v>5.4064195003187942E-3</v>
      </c>
      <c r="EY31">
        <v>1.1601815358578779E-2</v>
      </c>
      <c r="EZ31">
        <v>6.1200299145947316E-2</v>
      </c>
      <c r="FA31">
        <v>1.5010000311720804E-2</v>
      </c>
      <c r="FB31">
        <v>1.2639458929818952E-2</v>
      </c>
      <c r="FC31">
        <v>2.2589650010590621E-2</v>
      </c>
      <c r="FD31">
        <v>8.0621116173104052E-2</v>
      </c>
      <c r="FE31">
        <v>2.8787436064879188E-2</v>
      </c>
      <c r="FF31">
        <v>1.2752698655751783E-2</v>
      </c>
      <c r="FG31">
        <v>5.4724327212425962E-2</v>
      </c>
      <c r="FH31">
        <v>8.2204036601821132E-3</v>
      </c>
      <c r="FI31">
        <v>3.0700584708824044E-2</v>
      </c>
      <c r="FJ31">
        <v>1.6662306664335005E-2</v>
      </c>
      <c r="FK31">
        <v>9.3566875985872724E-3</v>
      </c>
      <c r="FL31">
        <v>5.6152563880146153E-2</v>
      </c>
      <c r="FM31">
        <v>0.11160569309474554</v>
      </c>
      <c r="FN31">
        <v>7.0631887004692862E-2</v>
      </c>
      <c r="FO31">
        <v>6.5782049991569887E-3</v>
      </c>
      <c r="FP31">
        <v>1.2526093995680831E-2</v>
      </c>
      <c r="FQ31">
        <v>2.141036338775764E-2</v>
      </c>
      <c r="FR31">
        <v>0.10354285592674188</v>
      </c>
      <c r="FS31">
        <v>6.4790526500858904E-3</v>
      </c>
      <c r="FT31">
        <v>2.2223634133814958E-2</v>
      </c>
      <c r="FU31">
        <v>3.3510905222728933E-2</v>
      </c>
      <c r="FV31">
        <v>2.9164521560422429E-2</v>
      </c>
      <c r="FW31">
        <v>6.2877722485918414E-2</v>
      </c>
      <c r="FX31">
        <v>3.6783650001120665E-3</v>
      </c>
      <c r="FY31">
        <v>1.2357306158839071E-2</v>
      </c>
      <c r="FZ31">
        <v>2.4722772999426913E-2</v>
      </c>
      <c r="GA31">
        <v>2.9130143599694701E-2</v>
      </c>
      <c r="GB31">
        <v>7.9320384001636546E-3</v>
      </c>
      <c r="GC31">
        <v>6.3375473917586633E-2</v>
      </c>
      <c r="GD31">
        <v>1.6727719185487048E-2</v>
      </c>
      <c r="GE31">
        <v>2.477509975266674E-2</v>
      </c>
      <c r="GF31">
        <v>2.7377875018365853E-2</v>
      </c>
      <c r="GG31">
        <v>5.1928244610406196E-2</v>
      </c>
      <c r="GH31">
        <v>4.9220638386908641E-3</v>
      </c>
      <c r="GI31">
        <v>2.0965845774382787E-2</v>
      </c>
      <c r="GJ31">
        <v>1.9128228390505757E-2</v>
      </c>
      <c r="GK31">
        <v>5.0793762955584854E-2</v>
      </c>
      <c r="GL31">
        <v>2.6589737864483119E-2</v>
      </c>
      <c r="GM31">
        <v>9.5787353674799229E-3</v>
      </c>
      <c r="GN31">
        <v>1.5261489965432092E-2</v>
      </c>
      <c r="GO31">
        <v>3.4523212030571925E-2</v>
      </c>
      <c r="GP31">
        <v>1.9363068122388867E-2</v>
      </c>
      <c r="GQ31">
        <v>1.1844320922150044E-2</v>
      </c>
      <c r="GR31">
        <v>1.6624946777020564E-2</v>
      </c>
      <c r="GS31">
        <v>2.2302164590360884E-2</v>
      </c>
      <c r="GT31">
        <v>2.8972554975931618E-2</v>
      </c>
      <c r="GU31">
        <v>1.0288087869861623E-2</v>
      </c>
      <c r="GV31">
        <v>7.8595802511301216E-2</v>
      </c>
      <c r="GW31">
        <v>2.7942409783045189E-3</v>
      </c>
      <c r="GX31">
        <v>3.2030196549780149E-2</v>
      </c>
      <c r="GY31">
        <v>6.0708309227393417E-3</v>
      </c>
      <c r="GZ31">
        <v>2.3911605571743173E-3</v>
      </c>
      <c r="HA31">
        <v>6.942959068669069E-3</v>
      </c>
      <c r="HB31">
        <v>0.16371037240430689</v>
      </c>
      <c r="HC31">
        <v>1.2662455827859282E-2</v>
      </c>
      <c r="HD31">
        <v>5.5226116181270202E-3</v>
      </c>
      <c r="HE31">
        <v>1.5309795454175375E-2</v>
      </c>
      <c r="HF31">
        <v>6.9210425198998615E-3</v>
      </c>
      <c r="HG31">
        <v>4.5593863511779485E-2</v>
      </c>
      <c r="HH31">
        <v>1.6730122757611467E-2</v>
      </c>
      <c r="HI31">
        <v>0.13943138839518224</v>
      </c>
      <c r="HJ31">
        <v>4.9244198742839449E-3</v>
      </c>
      <c r="HK31">
        <v>0.10191340855021881</v>
      </c>
      <c r="HL31">
        <v>3.8273842814195179E-2</v>
      </c>
      <c r="HM31">
        <v>3.0361564423864226E-2</v>
      </c>
      <c r="HN31">
        <v>5.8297633857886555E-2</v>
      </c>
      <c r="HO31">
        <v>3.037029135583472E-2</v>
      </c>
      <c r="HP31">
        <v>4.2007650824534226E-2</v>
      </c>
      <c r="HQ31">
        <v>5.5713807390525109E-3</v>
      </c>
      <c r="HR31">
        <v>4.4720221052791359E-2</v>
      </c>
      <c r="HS31">
        <v>3.3543225323039043E-2</v>
      </c>
      <c r="HT31">
        <v>7.103180821565384E-3</v>
      </c>
      <c r="HU31">
        <v>5.0101891269916737E-2</v>
      </c>
      <c r="HV31">
        <v>1.2267537607547244E-2</v>
      </c>
      <c r="HW31">
        <v>3.1051310081358984E-2</v>
      </c>
      <c r="HX31">
        <v>4.424360018104632E-3</v>
      </c>
      <c r="HY31">
        <v>2.5189720288136531E-2</v>
      </c>
      <c r="HZ31">
        <v>1.0670400207522196E-2</v>
      </c>
      <c r="IA31">
        <v>1.1283836194060225E-2</v>
      </c>
      <c r="IB31">
        <v>5.7498024104997644E-3</v>
      </c>
      <c r="IC31">
        <v>2.7401949727962364E-3</v>
      </c>
      <c r="ID31">
        <v>2.0201056967310664E-2</v>
      </c>
      <c r="IE31">
        <v>3.638003744484844E-2</v>
      </c>
      <c r="IF31">
        <v>9.4543009430738331E-2</v>
      </c>
      <c r="IG31">
        <v>8.2863361585491097E-3</v>
      </c>
      <c r="IH31">
        <v>4.1942895802429608E-3</v>
      </c>
      <c r="II31">
        <v>3.0206740928079217E-2</v>
      </c>
      <c r="IJ31">
        <v>2.8099782338920069E-2</v>
      </c>
      <c r="IK31">
        <v>6.179569337478636E-2</v>
      </c>
      <c r="IL31">
        <v>5.6633421021817683E-3</v>
      </c>
      <c r="IM31">
        <v>2.975566573238839E-2</v>
      </c>
      <c r="IN31">
        <v>1.6408633820602654E-2</v>
      </c>
      <c r="IO31">
        <v>6.7634096858569769E-3</v>
      </c>
    </row>
    <row r="32" spans="5:249" x14ac:dyDescent="0.15">
      <c r="E32">
        <v>3.024934461473448E-2</v>
      </c>
      <c r="F32">
        <v>1.0557118494099902E-3</v>
      </c>
      <c r="J32" s="17">
        <v>9.5770148932352694E-2</v>
      </c>
      <c r="K32" s="17">
        <v>9.8425389359913223E-3</v>
      </c>
      <c r="L32" s="17">
        <v>4.2415041005578275E-2</v>
      </c>
      <c r="M32" s="17">
        <v>7.4885702612394481E-2</v>
      </c>
      <c r="N32" s="17">
        <v>9.5247693242571152E-2</v>
      </c>
      <c r="O32" s="17">
        <v>1.5589404474313905E-2</v>
      </c>
      <c r="P32" s="17">
        <v>2.9584153985117656E-2</v>
      </c>
      <c r="Q32" s="17">
        <v>4.2396612578916807E-3</v>
      </c>
      <c r="R32" s="17">
        <v>3.15189136531085E-2</v>
      </c>
      <c r="S32" s="17">
        <v>2.3601297642168055E-2</v>
      </c>
      <c r="T32">
        <v>2.3188539660871739E-3</v>
      </c>
      <c r="U32">
        <v>2.0708388444650373E-2</v>
      </c>
      <c r="V32">
        <v>8.1539612804094157E-3</v>
      </c>
      <c r="W32">
        <v>2.107266832101375E-2</v>
      </c>
      <c r="X32">
        <v>2.2182379490164154E-2</v>
      </c>
      <c r="Y32">
        <v>2.9408217811171356E-2</v>
      </c>
      <c r="Z32">
        <v>9.8045698339055635E-3</v>
      </c>
      <c r="AA32">
        <v>2.5500700690099586E-2</v>
      </c>
      <c r="AB32">
        <v>1.1991266267228349E-2</v>
      </c>
      <c r="AC32">
        <v>1.010066468017184E-2</v>
      </c>
      <c r="AD32">
        <v>1.6021449187911777E-2</v>
      </c>
      <c r="AE32">
        <v>2.17501463398613E-2</v>
      </c>
      <c r="AF32">
        <v>5.0275013630734645E-2</v>
      </c>
      <c r="AG32">
        <v>6.7365995700616231E-3</v>
      </c>
      <c r="AH32">
        <v>3.4673107371773801E-2</v>
      </c>
      <c r="AI32">
        <v>2.4772033289504693E-2</v>
      </c>
      <c r="AJ32">
        <v>3.6557511611146558E-2</v>
      </c>
      <c r="AK32">
        <v>8.3862599316889608E-2</v>
      </c>
      <c r="AL32">
        <v>3.8391181252107859E-2</v>
      </c>
      <c r="AM32">
        <v>2.8480228744456961E-2</v>
      </c>
      <c r="AN32">
        <v>1.1461052548985049E-2</v>
      </c>
      <c r="AO32">
        <v>2.6651149702156263E-2</v>
      </c>
      <c r="AP32">
        <v>8.1819084879849995E-3</v>
      </c>
      <c r="AQ32">
        <v>0.12360341829532227</v>
      </c>
      <c r="AR32">
        <v>1.9857294063781346E-2</v>
      </c>
      <c r="AS32">
        <v>8.1430805991922761E-2</v>
      </c>
      <c r="AT32">
        <v>2.8255099018802736E-2</v>
      </c>
      <c r="AU32">
        <v>1.1957274960829808E-2</v>
      </c>
      <c r="AV32">
        <v>5.4455552360829558E-2</v>
      </c>
      <c r="AW32">
        <v>3.3551172251480854E-2</v>
      </c>
      <c r="AX32">
        <v>1.4249433095816532E-2</v>
      </c>
      <c r="AY32">
        <v>8.6619090698090151E-2</v>
      </c>
      <c r="AZ32">
        <v>1.0508908250923108E-2</v>
      </c>
      <c r="BA32">
        <v>8.892904242822363E-3</v>
      </c>
      <c r="BB32">
        <v>1.0542547705954065E-2</v>
      </c>
      <c r="BC32">
        <v>4.6907298354080681E-2</v>
      </c>
      <c r="BD32">
        <v>3.2060121809667101E-2</v>
      </c>
      <c r="BE32">
        <v>2.3483001237653237E-2</v>
      </c>
      <c r="BF32">
        <v>1.9550732897915559E-2</v>
      </c>
      <c r="BG32">
        <v>5.7446005176320231E-2</v>
      </c>
      <c r="BH32">
        <v>1.1407589702660424E-2</v>
      </c>
      <c r="BI32">
        <v>1.6804615663908076E-2</v>
      </c>
      <c r="BJ32">
        <v>1.3835455316658465E-2</v>
      </c>
      <c r="BK32">
        <v>1.5241764456673112E-2</v>
      </c>
      <c r="BL32">
        <v>4.65381035139142E-2</v>
      </c>
      <c r="BM32">
        <v>9.1528352702762342E-2</v>
      </c>
      <c r="BN32">
        <v>1.4531331299820142E-2</v>
      </c>
      <c r="BO32">
        <v>3.0716314182708929E-2</v>
      </c>
      <c r="BP32">
        <v>7.2346498262637511E-3</v>
      </c>
      <c r="BQ32">
        <v>2.6854900773910787E-2</v>
      </c>
      <c r="BR32">
        <v>4.15070640381454E-2</v>
      </c>
      <c r="BS32">
        <v>2.338461920528611E-2</v>
      </c>
      <c r="BT32">
        <v>1.5890773797054791E-2</v>
      </c>
      <c r="BU32">
        <v>5.3157450603754696E-3</v>
      </c>
      <c r="BV32">
        <v>1.8388775394942655E-2</v>
      </c>
      <c r="BW32">
        <v>3.0032914268949693E-2</v>
      </c>
      <c r="BX32">
        <v>1.7292505157437067E-2</v>
      </c>
      <c r="BY32">
        <v>6.3153422408887263E-3</v>
      </c>
      <c r="BZ32">
        <v>9.2010121186218374E-2</v>
      </c>
      <c r="CA32">
        <v>1.7495076765016354E-2</v>
      </c>
      <c r="CB32">
        <v>7.2500093705115398E-3</v>
      </c>
      <c r="CC32">
        <v>2.3028808806915355E-2</v>
      </c>
      <c r="CD32">
        <v>2.5978671821062203E-2</v>
      </c>
      <c r="CE32">
        <v>2.2836206821532569E-2</v>
      </c>
      <c r="CF32">
        <v>1.7841795391299611E-2</v>
      </c>
      <c r="CG32">
        <v>6.506022407500181E-2</v>
      </c>
      <c r="CH32">
        <v>2.9771717289651677E-2</v>
      </c>
      <c r="CI32">
        <v>8.2766528303226117E-3</v>
      </c>
      <c r="CJ32">
        <v>6.855808212893149E-3</v>
      </c>
      <c r="CK32">
        <v>2.682105470594099E-2</v>
      </c>
      <c r="CL32">
        <v>1.1317120563785142E-2</v>
      </c>
      <c r="CM32">
        <v>8.9468636400060544E-3</v>
      </c>
      <c r="CN32">
        <v>0.10021218566005979</v>
      </c>
      <c r="CO32">
        <v>1.2251501323003549E-2</v>
      </c>
      <c r="CP32">
        <v>1.8947863584330021E-2</v>
      </c>
      <c r="CQ32">
        <v>9.3170580782848417E-3</v>
      </c>
      <c r="CR32">
        <v>1.8260732988168018E-2</v>
      </c>
      <c r="CS32">
        <v>9.1181266927341676E-3</v>
      </c>
      <c r="CT32">
        <v>8.7068072483308459E-2</v>
      </c>
      <c r="CU32">
        <v>1.0659222780907663E-2</v>
      </c>
      <c r="CV32">
        <v>2.5345347530949296E-2</v>
      </c>
      <c r="CW32">
        <v>6.5880872414050662E-2</v>
      </c>
      <c r="CX32">
        <v>3.6510136678287114E-3</v>
      </c>
      <c r="CY32">
        <v>0.17869648210207942</v>
      </c>
      <c r="CZ32">
        <v>2.2497859783330736E-2</v>
      </c>
      <c r="DA32">
        <v>4.4341114007308821E-2</v>
      </c>
      <c r="DB32">
        <v>3.3900481658774139E-3</v>
      </c>
      <c r="DC32">
        <v>6.817316018393348E-3</v>
      </c>
      <c r="DD32">
        <v>1.6152896253594388E-2</v>
      </c>
      <c r="DE32">
        <v>7.3649331660899389E-2</v>
      </c>
      <c r="DF32">
        <v>3.7252277022318259E-2</v>
      </c>
      <c r="DG32">
        <v>1.406167411776419E-2</v>
      </c>
      <c r="DH32">
        <v>2.5254027763600268E-2</v>
      </c>
      <c r="DI32">
        <v>8.954035512091351E-3</v>
      </c>
      <c r="DJ32">
        <v>8.1910823455880633E-2</v>
      </c>
      <c r="DK32">
        <v>2.014861349408632E-2</v>
      </c>
      <c r="DL32">
        <v>8.0852225516354938E-3</v>
      </c>
      <c r="DM32">
        <v>4.051507518747989E-2</v>
      </c>
      <c r="DN32">
        <v>1.3164996649831883E-2</v>
      </c>
      <c r="DO32">
        <v>0.1682790497595604</v>
      </c>
      <c r="DP32">
        <v>2.0199282884925108E-2</v>
      </c>
      <c r="DQ32">
        <v>1.5783479531518294E-2</v>
      </c>
      <c r="DR32">
        <v>4.0122315119598215E-3</v>
      </c>
      <c r="DS32">
        <v>1.0761969874515418E-2</v>
      </c>
      <c r="DT32">
        <v>1.871183051324006E-2</v>
      </c>
      <c r="DU32">
        <v>9.7079583632980748E-3</v>
      </c>
      <c r="DV32">
        <v>3.7797973238670193E-2</v>
      </c>
      <c r="DW32">
        <v>8.5101657245790392E-3</v>
      </c>
      <c r="DX32">
        <v>7.8737418115693795E-3</v>
      </c>
      <c r="DY32">
        <v>4.6207165108309078E-2</v>
      </c>
      <c r="DZ32">
        <v>7.1999601316349873E-2</v>
      </c>
      <c r="EA32">
        <v>6.1878248871832927E-3</v>
      </c>
      <c r="EB32">
        <v>4.8840147365579413E-3</v>
      </c>
      <c r="EC32">
        <v>9.82911728709394E-2</v>
      </c>
      <c r="ED32">
        <v>1.4565480559499569E-3</v>
      </c>
      <c r="EE32">
        <v>6.0805986635981808E-2</v>
      </c>
      <c r="EF32">
        <v>1.5153175351363212E-2</v>
      </c>
      <c r="EG32">
        <v>8.4032960972642221E-3</v>
      </c>
      <c r="EH32">
        <v>2.1887380123134174E-2</v>
      </c>
      <c r="EI32">
        <v>2.2756373789086511E-2</v>
      </c>
      <c r="EJ32">
        <v>5.6075813631567741E-3</v>
      </c>
      <c r="EK32">
        <v>6.8708951277150543E-2</v>
      </c>
      <c r="EL32">
        <v>5.2531230183487307E-3</v>
      </c>
      <c r="EM32">
        <v>3.3944138095198988E-3</v>
      </c>
      <c r="EN32">
        <v>8.8262017962337201E-3</v>
      </c>
      <c r="EO32">
        <v>1.8198572123712831E-2</v>
      </c>
      <c r="EP32">
        <v>9.2554651300412651E-3</v>
      </c>
      <c r="EQ32">
        <v>1.5415447924599745E-2</v>
      </c>
      <c r="ER32">
        <v>4.3839857809724193E-2</v>
      </c>
      <c r="ES32">
        <v>2.821135034378279E-2</v>
      </c>
      <c r="ET32">
        <v>4.5871234083725995E-2</v>
      </c>
      <c r="EU32">
        <v>2.2219359408015256E-3</v>
      </c>
      <c r="EV32">
        <v>1.0653994368974977E-2</v>
      </c>
      <c r="EW32">
        <v>5.0185426857160806E-2</v>
      </c>
      <c r="EX32">
        <v>7.1311198517465032E-3</v>
      </c>
      <c r="EY32">
        <v>9.9210864312853399E-3</v>
      </c>
      <c r="EZ32">
        <v>4.423339250867564E-2</v>
      </c>
      <c r="FA32">
        <v>1.1048526514187819E-2</v>
      </c>
      <c r="FB32">
        <v>6.5535618257750484E-3</v>
      </c>
      <c r="FC32">
        <v>2.0485284117740223E-2</v>
      </c>
      <c r="FD32">
        <v>6.2419500000967257E-2</v>
      </c>
      <c r="FE32">
        <v>2.4956340449940176E-2</v>
      </c>
      <c r="FF32">
        <v>1.4430035676687915E-2</v>
      </c>
      <c r="FG32">
        <v>5.9707353978751349E-2</v>
      </c>
      <c r="FH32">
        <v>6.2998798587595379E-3</v>
      </c>
      <c r="FI32">
        <v>2.2957092033146911E-2</v>
      </c>
      <c r="FJ32">
        <v>1.8714189375178821E-2</v>
      </c>
      <c r="FK32">
        <v>1.1290737207171419E-2</v>
      </c>
      <c r="FL32">
        <v>6.4576546921838687E-2</v>
      </c>
      <c r="FM32">
        <v>7.3358066243840211E-2</v>
      </c>
      <c r="FN32">
        <v>5.5712556021851461E-2</v>
      </c>
      <c r="FO32">
        <v>4.013986820979764E-3</v>
      </c>
      <c r="FP32">
        <v>1.627307050044392E-2</v>
      </c>
      <c r="FQ32">
        <v>1.5538022066413932E-2</v>
      </c>
      <c r="FR32">
        <v>7.6579499071560003E-2</v>
      </c>
      <c r="FS32">
        <v>5.0554116894339189E-3</v>
      </c>
      <c r="FT32">
        <v>1.9281815962455266E-2</v>
      </c>
      <c r="FU32">
        <v>3.5761986009962575E-2</v>
      </c>
      <c r="FV32">
        <v>2.0732855714406095E-2</v>
      </c>
      <c r="FW32">
        <v>4.9759805694010999E-2</v>
      </c>
      <c r="FX32">
        <v>3.9037368183563997E-3</v>
      </c>
      <c r="FY32">
        <v>1.3019896576047796E-2</v>
      </c>
      <c r="FZ32">
        <v>2.4117146320698835E-2</v>
      </c>
      <c r="GA32">
        <v>2.6088500426584955E-2</v>
      </c>
      <c r="GB32">
        <v>6.5071889978194544E-3</v>
      </c>
      <c r="GC32">
        <v>8.5915971879088712E-2</v>
      </c>
      <c r="GD32">
        <v>2.2552812177104666E-2</v>
      </c>
      <c r="GE32">
        <v>1.5937236577497016E-2</v>
      </c>
      <c r="GF32">
        <v>2.354777801946174E-2</v>
      </c>
      <c r="GG32">
        <v>4.758456099504426E-2</v>
      </c>
      <c r="GH32">
        <v>3.7326791963621393E-3</v>
      </c>
      <c r="GI32">
        <v>2.2959191292956066E-2</v>
      </c>
      <c r="GJ32">
        <v>2.2227101980764837E-2</v>
      </c>
      <c r="GK32">
        <v>4.7558050797898314E-2</v>
      </c>
      <c r="GL32">
        <v>2.0956393322413756E-2</v>
      </c>
      <c r="GM32">
        <v>5.7436392556052254E-3</v>
      </c>
      <c r="GN32">
        <v>1.2341319327397937E-2</v>
      </c>
      <c r="GO32">
        <v>3.8254636400257759E-2</v>
      </c>
      <c r="GP32">
        <v>1.7141275383505142E-2</v>
      </c>
      <c r="GQ32">
        <v>1.1041404044628351E-2</v>
      </c>
      <c r="GR32">
        <v>1.3947516140613288E-2</v>
      </c>
      <c r="GS32">
        <v>2.0223556613066997E-2</v>
      </c>
      <c r="GT32">
        <v>4.5084231019789679E-2</v>
      </c>
      <c r="GU32">
        <v>2.2520125922302042E-2</v>
      </c>
      <c r="GV32">
        <v>0.11047923059453141</v>
      </c>
      <c r="GW32">
        <v>2.5180817431894832E-3</v>
      </c>
      <c r="GX32">
        <v>3.9794337885046063E-2</v>
      </c>
      <c r="GY32">
        <v>7.2552187780971656E-3</v>
      </c>
      <c r="GZ32">
        <v>2.0548165017769014E-3</v>
      </c>
      <c r="HA32">
        <v>8.0089144091646369E-3</v>
      </c>
      <c r="HB32">
        <v>0.17631177669267972</v>
      </c>
      <c r="HC32">
        <v>1.6697360895984593E-2</v>
      </c>
      <c r="HD32">
        <v>5.2310307844919673E-3</v>
      </c>
      <c r="HE32">
        <v>9.4315327330847659E-3</v>
      </c>
      <c r="HF32">
        <v>9.7951664499837734E-3</v>
      </c>
      <c r="HG32">
        <v>3.6470362799919956E-2</v>
      </c>
      <c r="HH32">
        <v>1.4613737044468002E-2</v>
      </c>
      <c r="HI32">
        <v>0.23334728755092335</v>
      </c>
      <c r="HJ32">
        <v>5.8825811203015521E-3</v>
      </c>
      <c r="HK32">
        <v>9.5543384765163594E-2</v>
      </c>
      <c r="HL32">
        <v>3.0143655560345452E-2</v>
      </c>
      <c r="HM32">
        <v>2.3096415235683232E-2</v>
      </c>
      <c r="HN32">
        <v>6.616307422445189E-2</v>
      </c>
      <c r="HO32">
        <v>2.6809131789340971E-2</v>
      </c>
      <c r="HP32">
        <v>4.2022941812642781E-2</v>
      </c>
      <c r="HQ32">
        <v>3.4038310097912442E-3</v>
      </c>
      <c r="HR32">
        <v>3.6013569670009744E-2</v>
      </c>
      <c r="HS32">
        <v>3.7982109104200461E-2</v>
      </c>
      <c r="HT32">
        <v>6.0908004653846383E-3</v>
      </c>
      <c r="HU32">
        <v>4.8423481611345437E-2</v>
      </c>
      <c r="HV32">
        <v>1.0771616319987251E-2</v>
      </c>
      <c r="HW32">
        <v>3.9374243537953046E-2</v>
      </c>
      <c r="HX32">
        <v>5.4309833403483696E-3</v>
      </c>
      <c r="HY32">
        <v>2.3460724343730255E-2</v>
      </c>
      <c r="HZ32">
        <v>1.6547997208484558E-2</v>
      </c>
      <c r="IA32">
        <v>7.8401258179074621E-3</v>
      </c>
      <c r="IB32">
        <v>6.2269446211036866E-3</v>
      </c>
      <c r="IC32">
        <v>3.0978549258270155E-3</v>
      </c>
      <c r="ID32">
        <v>1.9268087108335961E-2</v>
      </c>
      <c r="IE32">
        <v>2.6249875783004077E-2</v>
      </c>
      <c r="IF32">
        <v>0.11422409354685949</v>
      </c>
      <c r="IG32">
        <v>7.0540991639240665E-3</v>
      </c>
      <c r="IH32">
        <v>4.3474087136331644E-3</v>
      </c>
      <c r="II32">
        <v>2.744393595758569E-2</v>
      </c>
      <c r="IJ32">
        <v>2.2603464216129097E-2</v>
      </c>
      <c r="IK32">
        <v>7.0844987212411517E-2</v>
      </c>
      <c r="IL32">
        <v>5.8912080683357782E-3</v>
      </c>
      <c r="IM32">
        <v>3.3936742349941887E-2</v>
      </c>
      <c r="IN32">
        <v>2.2389115567395739E-2</v>
      </c>
      <c r="IO32">
        <v>7.2083114115131519E-3</v>
      </c>
    </row>
    <row r="33" spans="5:249" x14ac:dyDescent="0.15">
      <c r="E33">
        <v>3.1707924623201246E-2</v>
      </c>
      <c r="F33">
        <v>1.283479596703862E-3</v>
      </c>
      <c r="J33" s="17">
        <v>0.13020960478986163</v>
      </c>
      <c r="K33" s="17">
        <v>1.2663264133503287E-2</v>
      </c>
      <c r="L33" s="17">
        <v>4.5298843824488198E-2</v>
      </c>
      <c r="M33" s="17">
        <v>4.6419193540614127E-2</v>
      </c>
      <c r="N33" s="17">
        <v>9.0438735576219925E-2</v>
      </c>
      <c r="O33" s="17">
        <v>1.3036214672596406E-2</v>
      </c>
      <c r="P33" s="17">
        <v>1.713033269342169E-2</v>
      </c>
      <c r="Q33" s="17">
        <v>4.2470436628496344E-3</v>
      </c>
      <c r="R33" s="17">
        <v>4.935212095209824E-2</v>
      </c>
      <c r="S33" s="17">
        <v>3.0907790009326138E-2</v>
      </c>
      <c r="T33">
        <v>2.6288724953596426E-3</v>
      </c>
      <c r="U33">
        <v>1.5350387500773216E-2</v>
      </c>
      <c r="V33">
        <v>8.9260273197605475E-3</v>
      </c>
      <c r="W33">
        <v>2.0815884429231029E-2</v>
      </c>
      <c r="X33">
        <v>3.1056447395418657E-2</v>
      </c>
      <c r="Y33">
        <v>3.0831749446212323E-2</v>
      </c>
      <c r="Z33">
        <v>1.686988102604042E-2</v>
      </c>
      <c r="AA33">
        <v>2.1427126717628423E-2</v>
      </c>
      <c r="AB33">
        <v>9.6037233355242748E-3</v>
      </c>
      <c r="AC33">
        <v>1.1937690606420703E-2</v>
      </c>
      <c r="AD33">
        <v>1.8275168684661919E-2</v>
      </c>
      <c r="AE33">
        <v>1.5300602137277587E-2</v>
      </c>
      <c r="AF33">
        <v>5.4514937301802395E-2</v>
      </c>
      <c r="AG33">
        <v>6.184391248267136E-3</v>
      </c>
      <c r="AH33">
        <v>2.6527038699880295E-2</v>
      </c>
      <c r="AI33">
        <v>2.6960734361427718E-2</v>
      </c>
      <c r="AJ33">
        <v>4.3153094008943745E-2</v>
      </c>
      <c r="AK33">
        <v>6.9342815084330711E-2</v>
      </c>
      <c r="AL33">
        <v>2.6111105114790568E-2</v>
      </c>
      <c r="AM33">
        <v>3.302581855185683E-2</v>
      </c>
      <c r="AN33">
        <v>9.8350145011585621E-3</v>
      </c>
      <c r="AO33">
        <v>2.4251254142477821E-2</v>
      </c>
      <c r="AP33">
        <v>1.1598696231831487E-2</v>
      </c>
      <c r="AQ33">
        <v>0.12435410647018239</v>
      </c>
      <c r="AR33">
        <v>1.8381658431401958E-2</v>
      </c>
      <c r="AS33">
        <v>9.6232655370819195E-2</v>
      </c>
      <c r="AT33">
        <v>3.6705029931161703E-2</v>
      </c>
      <c r="AU33">
        <v>9.3314820343508211E-3</v>
      </c>
      <c r="AV33">
        <v>6.5639629385405046E-2</v>
      </c>
      <c r="AW33">
        <v>1.9352913439154545E-2</v>
      </c>
      <c r="AX33">
        <v>1.4255444034651376E-2</v>
      </c>
      <c r="AY33">
        <v>7.3726675768716013E-2</v>
      </c>
      <c r="AZ33">
        <v>1.5281768624931085E-2</v>
      </c>
      <c r="BA33">
        <v>8.0734574695250517E-3</v>
      </c>
      <c r="BB33">
        <v>9.9361621988437523E-3</v>
      </c>
      <c r="BC33">
        <v>5.546584005337446E-2</v>
      </c>
      <c r="BD33">
        <v>5.2083219115386666E-2</v>
      </c>
      <c r="BE33">
        <v>2.798657411320668E-2</v>
      </c>
      <c r="BF33">
        <v>2.1521683289150544E-2</v>
      </c>
      <c r="BG33">
        <v>6.3076568602853683E-2</v>
      </c>
      <c r="BH33">
        <v>1.5341075266030769E-2</v>
      </c>
      <c r="BI33">
        <v>1.6810099938973283E-2</v>
      </c>
      <c r="BJ33">
        <v>8.5268559613695012E-3</v>
      </c>
      <c r="BK33">
        <v>1.8239142612238367E-2</v>
      </c>
      <c r="BL33">
        <v>5.3628342835146926E-2</v>
      </c>
      <c r="BM33">
        <v>9.5204011763576485E-2</v>
      </c>
      <c r="BN33">
        <v>9.4244024272130741E-3</v>
      </c>
      <c r="BO33">
        <v>4.7278153453345066E-2</v>
      </c>
      <c r="BP33">
        <v>7.5557057012025954E-3</v>
      </c>
      <c r="BQ33">
        <v>3.2606222901241988E-2</v>
      </c>
      <c r="BR33">
        <v>3.9605802242160891E-2</v>
      </c>
      <c r="BS33">
        <v>2.6027261233326097E-2</v>
      </c>
      <c r="BT33">
        <v>1.6532313330176088E-2</v>
      </c>
      <c r="BU33">
        <v>9.1103288379940292E-3</v>
      </c>
      <c r="BV33">
        <v>1.6927339814515278E-2</v>
      </c>
      <c r="BW33">
        <v>3.2103762592301861E-2</v>
      </c>
      <c r="BX33">
        <v>1.0456081536577559E-2</v>
      </c>
      <c r="BY33">
        <v>3.6591381427466757E-3</v>
      </c>
      <c r="BZ33">
        <v>8.5397656318120602E-2</v>
      </c>
      <c r="CA33">
        <v>1.7105092654661799E-2</v>
      </c>
      <c r="CB33">
        <v>5.693930397799577E-3</v>
      </c>
      <c r="CC33">
        <v>1.9966609994581257E-2</v>
      </c>
      <c r="CD33">
        <v>2.8811909358487358E-2</v>
      </c>
      <c r="CE33">
        <v>1.6276174360731255E-2</v>
      </c>
      <c r="CF33">
        <v>9.2205240437511771E-3</v>
      </c>
      <c r="CG33">
        <v>4.2767547849170556E-2</v>
      </c>
      <c r="CH33">
        <v>3.8457066179502689E-2</v>
      </c>
      <c r="CI33">
        <v>7.990052821861382E-3</v>
      </c>
      <c r="CJ33">
        <v>6.5521576503361958E-3</v>
      </c>
      <c r="CK33">
        <v>3.0404831429627539E-2</v>
      </c>
      <c r="CL33">
        <v>1.45975711214552E-2</v>
      </c>
      <c r="CM33">
        <v>1.0701681151631613E-2</v>
      </c>
      <c r="CN33">
        <v>0.17712375409827338</v>
      </c>
      <c r="CO33">
        <v>1.1621185236499141E-2</v>
      </c>
      <c r="CP33">
        <v>1.7599725265703851E-2</v>
      </c>
      <c r="CQ33">
        <v>9.4793856396023172E-3</v>
      </c>
      <c r="CR33">
        <v>2.3809417446834881E-2</v>
      </c>
      <c r="CS33">
        <v>1.1624572281146278E-2</v>
      </c>
      <c r="CT33">
        <v>6.7590064219363991E-2</v>
      </c>
      <c r="CU33">
        <v>1.0446018325379516E-2</v>
      </c>
      <c r="CV33">
        <v>3.4681311334976518E-2</v>
      </c>
      <c r="CW33">
        <v>8.1294495647172754E-2</v>
      </c>
      <c r="CX33">
        <v>2.9741228981916236E-3</v>
      </c>
      <c r="CY33">
        <v>0.15274444648046867</v>
      </c>
      <c r="CZ33">
        <v>2.7974783851103368E-2</v>
      </c>
      <c r="DA33">
        <v>4.8843042652720124E-2</v>
      </c>
      <c r="DB33">
        <v>4.491166544753759E-3</v>
      </c>
      <c r="DC33">
        <v>5.4058302480353071E-3</v>
      </c>
      <c r="DD33">
        <v>3.0146745903589543E-2</v>
      </c>
      <c r="DE33">
        <v>6.183938754660271E-2</v>
      </c>
      <c r="DF33">
        <v>3.8141272439188995E-2</v>
      </c>
      <c r="DG33">
        <v>1.2960490367291728E-2</v>
      </c>
      <c r="DH33">
        <v>2.2004512168527477E-2</v>
      </c>
      <c r="DI33">
        <v>1.027018089600351E-2</v>
      </c>
      <c r="DJ33">
        <v>0.10207698895942445</v>
      </c>
      <c r="DK33">
        <v>2.0150765050125894E-2</v>
      </c>
      <c r="DL33">
        <v>8.5934472956055302E-3</v>
      </c>
      <c r="DM33">
        <v>5.9416128003641412E-2</v>
      </c>
      <c r="DN33">
        <v>9.1017583919870172E-3</v>
      </c>
      <c r="DO33">
        <v>0.13689207158128885</v>
      </c>
      <c r="DP33">
        <v>1.7988716488561058E-2</v>
      </c>
      <c r="DQ33">
        <v>1.7167509001278142E-2</v>
      </c>
      <c r="DR33">
        <v>4.4407702468106111E-3</v>
      </c>
      <c r="DS33">
        <v>8.1683710557600795E-3</v>
      </c>
      <c r="DT33">
        <v>1.5598531870401833E-2</v>
      </c>
      <c r="DU33">
        <v>6.7733876790515455E-3</v>
      </c>
      <c r="DV33">
        <v>2.7784720295650368E-2</v>
      </c>
      <c r="DW33">
        <v>7.2570019604559066E-3</v>
      </c>
      <c r="DX33">
        <v>7.8671374205941339E-3</v>
      </c>
      <c r="DY33">
        <v>5.2489737012539402E-2</v>
      </c>
      <c r="DZ33">
        <v>0.1048200701233814</v>
      </c>
      <c r="EA33">
        <v>6.9947596516708845E-3</v>
      </c>
      <c r="EB33">
        <v>4.8035718329734415E-3</v>
      </c>
      <c r="EC33">
        <v>0.18299015794884732</v>
      </c>
      <c r="ED33">
        <v>1.9604870351742991E-3</v>
      </c>
      <c r="EE33">
        <v>7.6810999952064876E-2</v>
      </c>
      <c r="EF33">
        <v>2.1612221590487042E-2</v>
      </c>
      <c r="EG33">
        <v>1.0010251850247663E-2</v>
      </c>
      <c r="EH33">
        <v>2.4848495862351098E-2</v>
      </c>
      <c r="EI33">
        <v>2.3306258095205343E-2</v>
      </c>
      <c r="EJ33">
        <v>9.5409137612587607E-3</v>
      </c>
      <c r="EK33">
        <v>6.3915322370501237E-2</v>
      </c>
      <c r="EL33">
        <v>4.9146849932198448E-3</v>
      </c>
      <c r="EM33">
        <v>2.1338283532623876E-3</v>
      </c>
      <c r="EN33">
        <v>5.2986488153603795E-3</v>
      </c>
      <c r="EO33">
        <v>1.6033935966322257E-2</v>
      </c>
      <c r="EP33">
        <v>1.116325804406039E-2</v>
      </c>
      <c r="EQ33">
        <v>1.9139336259014095E-2</v>
      </c>
      <c r="ER33">
        <v>4.9327877761448008E-2</v>
      </c>
      <c r="ES33">
        <v>2.7843910299407453E-2</v>
      </c>
      <c r="ET33">
        <v>5.3788642736819915E-2</v>
      </c>
      <c r="EU33">
        <v>1.5491903572255046E-3</v>
      </c>
      <c r="EV33">
        <v>1.1599200227510533E-2</v>
      </c>
      <c r="EW33">
        <v>4.2796335050758284E-2</v>
      </c>
      <c r="EX33">
        <v>8.7511380988697998E-3</v>
      </c>
      <c r="EY33">
        <v>9.5252110459503464E-3</v>
      </c>
      <c r="EZ33">
        <v>4.125535697614293E-2</v>
      </c>
      <c r="FA33">
        <v>1.0514178566781142E-2</v>
      </c>
      <c r="FB33">
        <v>4.9809142582831461E-3</v>
      </c>
      <c r="FC33">
        <v>1.3507046230901504E-2</v>
      </c>
      <c r="FD33">
        <v>6.2885062839131645E-2</v>
      </c>
      <c r="FE33">
        <v>3.7027332629326587E-2</v>
      </c>
      <c r="FF33">
        <v>1.2056455442749166E-2</v>
      </c>
      <c r="FG33">
        <v>5.4968241612818845E-2</v>
      </c>
      <c r="FH33">
        <v>1.0335217336627832E-2</v>
      </c>
      <c r="FI33">
        <v>2.7275801595457436E-2</v>
      </c>
      <c r="FJ33">
        <v>2.1157898775511302E-2</v>
      </c>
      <c r="FK33">
        <v>9.5470713860526212E-3</v>
      </c>
      <c r="FL33">
        <v>4.9743623593428155E-2</v>
      </c>
      <c r="FM33">
        <v>8.269071665854226E-2</v>
      </c>
      <c r="FN33">
        <v>4.0158699567940805E-2</v>
      </c>
      <c r="FO33">
        <v>4.9597347376229874E-3</v>
      </c>
      <c r="FP33">
        <v>1.5096333437546967E-2</v>
      </c>
      <c r="FQ33">
        <v>2.0599065570564731E-2</v>
      </c>
      <c r="FR33">
        <v>7.741142662699578E-2</v>
      </c>
      <c r="FS33">
        <v>6.0424989524397697E-3</v>
      </c>
      <c r="FT33">
        <v>1.6400727562350448E-2</v>
      </c>
      <c r="FU33">
        <v>2.9862912570209739E-2</v>
      </c>
      <c r="FV33">
        <v>2.1277195961774464E-2</v>
      </c>
      <c r="FW33">
        <v>4.687533450825622E-2</v>
      </c>
      <c r="FX33">
        <v>4.2668494944197218E-3</v>
      </c>
      <c r="FY33">
        <v>1.0982329255527997E-2</v>
      </c>
      <c r="FZ33">
        <v>1.4376425529266445E-2</v>
      </c>
      <c r="GA33">
        <v>2.4855989962620638E-2</v>
      </c>
      <c r="GB33">
        <v>1.1575748246138098E-2</v>
      </c>
      <c r="GC33">
        <v>6.381722631490748E-2</v>
      </c>
      <c r="GD33">
        <v>2.4689663550347189E-2</v>
      </c>
      <c r="GE33">
        <v>1.5044513714335576E-2</v>
      </c>
      <c r="GF33">
        <v>2.1289593023108469E-2</v>
      </c>
      <c r="GG33">
        <v>4.4382052930689204E-2</v>
      </c>
      <c r="GH33">
        <v>3.5810679798805342E-3</v>
      </c>
      <c r="GI33">
        <v>1.397902075001731E-2</v>
      </c>
      <c r="GJ33">
        <v>2.6451041214852155E-2</v>
      </c>
      <c r="GK33">
        <v>6.4827747735829985E-2</v>
      </c>
      <c r="GL33">
        <v>1.7491702164061429E-2</v>
      </c>
      <c r="GM33">
        <v>9.371565324208686E-3</v>
      </c>
      <c r="GN33">
        <v>1.2893287654123184E-2</v>
      </c>
      <c r="GO33">
        <v>4.8733185811242495E-2</v>
      </c>
      <c r="GP33">
        <v>1.5564534469115385E-2</v>
      </c>
      <c r="GQ33">
        <v>1.2649983994692863E-2</v>
      </c>
      <c r="GR33">
        <v>1.992996427160415E-2</v>
      </c>
      <c r="GS33">
        <v>1.8801403628307702E-2</v>
      </c>
      <c r="GT33">
        <v>3.816494888706716E-2</v>
      </c>
      <c r="GU33">
        <v>2.5610887524810323E-2</v>
      </c>
      <c r="GV33">
        <v>0.15442283009827798</v>
      </c>
      <c r="GW33">
        <v>2.1043650568097084E-3</v>
      </c>
      <c r="GX33">
        <v>4.5790677381029272E-2</v>
      </c>
      <c r="GY33">
        <v>7.123763257527756E-3</v>
      </c>
      <c r="GZ33">
        <v>3.2892926974083881E-3</v>
      </c>
      <c r="HA33">
        <v>7.3240535745878414E-3</v>
      </c>
      <c r="HB33">
        <v>0.15785195093652968</v>
      </c>
      <c r="HC33">
        <v>2.1452893948682404E-2</v>
      </c>
      <c r="HD33">
        <v>5.1580677591145018E-3</v>
      </c>
      <c r="HE33">
        <v>1.28961572690585E-2</v>
      </c>
      <c r="HF33">
        <v>7.1824479141691933E-3</v>
      </c>
      <c r="HG33">
        <v>5.242886575889158E-2</v>
      </c>
      <c r="HH33">
        <v>1.2473720797876583E-2</v>
      </c>
      <c r="HI33">
        <v>0.2845618472236065</v>
      </c>
      <c r="HJ33">
        <v>6.5833370705055197E-3</v>
      </c>
      <c r="HK33">
        <v>0.1025517474042244</v>
      </c>
      <c r="HL33">
        <v>2.8725172267921293E-2</v>
      </c>
      <c r="HM33">
        <v>3.2964074282723632E-2</v>
      </c>
      <c r="HN33">
        <v>6.108657934499561E-2</v>
      </c>
      <c r="HO33">
        <v>4.0731297345751254E-2</v>
      </c>
      <c r="HP33">
        <v>5.7714205461245525E-2</v>
      </c>
      <c r="HQ33">
        <v>3.685211060143509E-3</v>
      </c>
      <c r="HR33">
        <v>4.0379184318939262E-2</v>
      </c>
      <c r="HS33">
        <v>2.8611609655829848E-2</v>
      </c>
      <c r="HT33">
        <v>9.0242453500655566E-3</v>
      </c>
      <c r="HU33">
        <v>4.1160995232954911E-2</v>
      </c>
      <c r="HV33">
        <v>1.2072996138006992E-2</v>
      </c>
      <c r="HW33">
        <v>4.2439937826156446E-2</v>
      </c>
      <c r="HX33">
        <v>5.2529010036919789E-3</v>
      </c>
      <c r="HY33">
        <v>2.6509090305398261E-2</v>
      </c>
      <c r="HZ33">
        <v>2.0727455438083908E-2</v>
      </c>
      <c r="IA33">
        <v>7.6145335753255569E-3</v>
      </c>
      <c r="IB33">
        <v>9.2707621594191689E-3</v>
      </c>
      <c r="IC33">
        <v>2.7477145443920003E-3</v>
      </c>
      <c r="ID33">
        <v>2.3348566460459498E-2</v>
      </c>
      <c r="IE33">
        <v>2.2563140168320603E-2</v>
      </c>
      <c r="IF33">
        <v>8.5614567144289611E-2</v>
      </c>
      <c r="IG33">
        <v>8.8065787322771927E-3</v>
      </c>
      <c r="IH33">
        <v>6.2416945618316072E-3</v>
      </c>
      <c r="II33">
        <v>4.2838593560605098E-2</v>
      </c>
      <c r="IJ33">
        <v>2.7660831104002193E-2</v>
      </c>
      <c r="IK33">
        <v>6.5605200575391376E-2</v>
      </c>
      <c r="IL33">
        <v>5.0125702944724872E-3</v>
      </c>
      <c r="IM33">
        <v>2.204204915921518E-2</v>
      </c>
      <c r="IN33">
        <v>2.0005389171643011E-2</v>
      </c>
      <c r="IO33">
        <v>7.3621840087883944E-3</v>
      </c>
    </row>
    <row r="34" spans="5:249" x14ac:dyDescent="0.15">
      <c r="E34">
        <v>3.1118756168148784E-2</v>
      </c>
      <c r="F34">
        <v>1.1581036284585412E-3</v>
      </c>
      <c r="J34" s="17">
        <v>0.10972135641468779</v>
      </c>
      <c r="K34" s="17">
        <v>1.518319635255479E-2</v>
      </c>
      <c r="L34" s="17">
        <v>6.5830637335046016E-2</v>
      </c>
      <c r="M34" s="17">
        <v>4.0751427280736635E-2</v>
      </c>
      <c r="N34" s="17">
        <v>0.1030200818807938</v>
      </c>
      <c r="O34" s="17">
        <v>1.3465464328206667E-2</v>
      </c>
      <c r="P34" s="17">
        <v>1.8871466141800467E-2</v>
      </c>
      <c r="Q34" s="17">
        <v>2.6628610542978682E-3</v>
      </c>
      <c r="R34" s="17">
        <v>4.8658622444007177E-2</v>
      </c>
      <c r="S34" s="17">
        <v>3.8342550245571518E-2</v>
      </c>
      <c r="T34">
        <v>3.8249728223683126E-3</v>
      </c>
      <c r="U34">
        <v>2.262579930773348E-2</v>
      </c>
      <c r="V34">
        <v>9.2175730219651447E-3</v>
      </c>
      <c r="W34">
        <v>1.631246098133101E-2</v>
      </c>
      <c r="X34">
        <v>1.9357382817471364E-2</v>
      </c>
      <c r="Y34">
        <v>2.5495462186780858E-2</v>
      </c>
      <c r="Z34">
        <v>2.0693004325801585E-2</v>
      </c>
      <c r="AA34">
        <v>2.7468758356386243E-2</v>
      </c>
      <c r="AB34">
        <v>8.9149250107413112E-3</v>
      </c>
      <c r="AC34">
        <v>1.2885709163875764E-2</v>
      </c>
      <c r="AD34">
        <v>1.5164459141888771E-2</v>
      </c>
      <c r="AE34">
        <v>2.4755815872637511E-2</v>
      </c>
      <c r="AF34">
        <v>4.5530933091854922E-2</v>
      </c>
      <c r="AG34">
        <v>8.224492517894413E-3</v>
      </c>
      <c r="AH34">
        <v>2.4380633423243564E-2</v>
      </c>
      <c r="AI34">
        <v>2.674015063727591E-2</v>
      </c>
      <c r="AJ34">
        <v>3.0596595381675668E-2</v>
      </c>
      <c r="AK34">
        <v>8.683325587792004E-2</v>
      </c>
      <c r="AL34">
        <v>4.5248921272900026E-2</v>
      </c>
      <c r="AM34">
        <v>3.6932647956208244E-2</v>
      </c>
      <c r="AN34">
        <v>9.647203373435078E-3</v>
      </c>
      <c r="AO34">
        <v>2.4312185807397212E-2</v>
      </c>
      <c r="AP34">
        <v>1.3148053177559028E-2</v>
      </c>
      <c r="AQ34">
        <v>0.12805571131580146</v>
      </c>
      <c r="AR34">
        <v>2.2875841869905288E-2</v>
      </c>
      <c r="AS34">
        <v>7.2893786447982806E-2</v>
      </c>
      <c r="AT34">
        <v>4.2038756659727262E-2</v>
      </c>
      <c r="AU34">
        <v>1.2564127442745234E-2</v>
      </c>
      <c r="AV34">
        <v>7.7754693535486558E-2</v>
      </c>
      <c r="AW34">
        <v>1.3641191015174694E-2</v>
      </c>
      <c r="AX34">
        <v>1.3226462565693358E-2</v>
      </c>
      <c r="AY34">
        <v>6.1464276295984381E-2</v>
      </c>
      <c r="AZ34">
        <v>1.5216177033388838E-2</v>
      </c>
      <c r="BA34">
        <v>1.2648478787744713E-2</v>
      </c>
      <c r="BB34">
        <v>1.7913107965729962E-2</v>
      </c>
      <c r="BC34">
        <v>6.9533821914573565E-2</v>
      </c>
      <c r="BD34">
        <v>4.4443359577828946E-2</v>
      </c>
      <c r="BE34">
        <v>2.7321061283527848E-2</v>
      </c>
      <c r="BF34">
        <v>2.3013096833004468E-2</v>
      </c>
      <c r="BG34">
        <v>5.2826168368134391E-2</v>
      </c>
      <c r="BH34">
        <v>1.205884208622667E-2</v>
      </c>
      <c r="BI34">
        <v>1.4877992706917892E-2</v>
      </c>
      <c r="BJ34">
        <v>8.0464947310117281E-3</v>
      </c>
      <c r="BK34">
        <v>2.0383506131839185E-2</v>
      </c>
      <c r="BL34">
        <v>5.0913121530153295E-2</v>
      </c>
      <c r="BM34">
        <v>7.6881102160673981E-2</v>
      </c>
      <c r="BN34">
        <v>1.2244446308158758E-2</v>
      </c>
      <c r="BO34">
        <v>4.9784530680275836E-2</v>
      </c>
      <c r="BP34">
        <v>6.5034482816499449E-3</v>
      </c>
      <c r="BQ34">
        <v>2.474586012844188E-2</v>
      </c>
      <c r="BR34">
        <v>4.1503363170785582E-2</v>
      </c>
      <c r="BS34">
        <v>3.9863771163258427E-2</v>
      </c>
      <c r="BT34">
        <v>1.8065365086240372E-2</v>
      </c>
      <c r="BU34">
        <v>1.2319712089841723E-2</v>
      </c>
      <c r="BV34">
        <v>1.5415033434004256E-2</v>
      </c>
      <c r="BW34">
        <v>3.8897051801869982E-2</v>
      </c>
      <c r="BX34">
        <v>8.5445009972674787E-3</v>
      </c>
      <c r="BY34">
        <v>3.5295552461148696E-3</v>
      </c>
      <c r="BZ34">
        <v>6.395039072238598E-2</v>
      </c>
      <c r="CA34">
        <v>2.0205570945135753E-2</v>
      </c>
      <c r="CB34">
        <v>4.3160188819374437E-3</v>
      </c>
      <c r="CC34">
        <v>2.4397402504237178E-2</v>
      </c>
      <c r="CD34">
        <v>2.3326618931476303E-2</v>
      </c>
      <c r="CE34">
        <v>1.98394177722576E-2</v>
      </c>
      <c r="CF34">
        <v>9.4725417950275344E-3</v>
      </c>
      <c r="CG34">
        <v>6.1310541961160231E-2</v>
      </c>
      <c r="CH34">
        <v>3.4391991100655078E-2</v>
      </c>
      <c r="CI34">
        <v>5.2101178192418308E-3</v>
      </c>
      <c r="CJ34">
        <v>7.7086828787234999E-3</v>
      </c>
      <c r="CK34">
        <v>3.3143245225909897E-2</v>
      </c>
      <c r="CL34">
        <v>1.4377018838999276E-2</v>
      </c>
      <c r="CM34">
        <v>9.1910556437456124E-3</v>
      </c>
      <c r="CN34">
        <v>0.17460675823747154</v>
      </c>
      <c r="CO34">
        <v>8.8824978377976798E-3</v>
      </c>
      <c r="CP34">
        <v>1.4096896230234961E-2</v>
      </c>
      <c r="CQ34">
        <v>9.8512094150853772E-3</v>
      </c>
      <c r="CR34">
        <v>1.9723974285478837E-2</v>
      </c>
      <c r="CS34">
        <v>1.4026979398302985E-2</v>
      </c>
      <c r="CT34">
        <v>5.3423350016789092E-2</v>
      </c>
      <c r="CU34">
        <v>9.7739298311812755E-3</v>
      </c>
      <c r="CV34">
        <v>3.0067072449260143E-2</v>
      </c>
      <c r="CW34">
        <v>8.7543346576402045E-2</v>
      </c>
      <c r="CX34">
        <v>2.1917778743841881E-3</v>
      </c>
      <c r="CY34">
        <v>0.13358844723399882</v>
      </c>
      <c r="CZ34">
        <v>2.1983793333297946E-2</v>
      </c>
      <c r="DA34">
        <v>4.031432359502423E-2</v>
      </c>
      <c r="DB34">
        <v>5.0531902485242723E-3</v>
      </c>
      <c r="DC34">
        <v>5.117681172941326E-3</v>
      </c>
      <c r="DD34">
        <v>3.1106767911351318E-2</v>
      </c>
      <c r="DE34">
        <v>4.9026627236668625E-2</v>
      </c>
      <c r="DF34">
        <v>3.4521908487865724E-2</v>
      </c>
      <c r="DG34">
        <v>1.1892098968897639E-2</v>
      </c>
      <c r="DH34">
        <v>2.137140107589458E-2</v>
      </c>
      <c r="DI34">
        <v>1.1286579692472213E-2</v>
      </c>
      <c r="DJ34">
        <v>8.0209138059142038E-2</v>
      </c>
      <c r="DK34">
        <v>2.2093752534229835E-2</v>
      </c>
      <c r="DL34">
        <v>7.7545530798530018E-3</v>
      </c>
      <c r="DM34">
        <v>3.810153343487848E-2</v>
      </c>
      <c r="DN34">
        <v>9.2758681048755124E-3</v>
      </c>
      <c r="DO34">
        <v>0.13840210945431325</v>
      </c>
      <c r="DP34">
        <v>2.21946329406362E-2</v>
      </c>
      <c r="DQ34">
        <v>1.6665838306046378E-2</v>
      </c>
      <c r="DR34">
        <v>5.130253908828492E-3</v>
      </c>
      <c r="DS34">
        <v>1.1300618210651581E-2</v>
      </c>
      <c r="DT34">
        <v>1.7580896624176289E-2</v>
      </c>
      <c r="DU34">
        <v>5.7706471908192721E-3</v>
      </c>
      <c r="DV34">
        <v>4.5093593883419346E-2</v>
      </c>
      <c r="DW34">
        <v>6.4405470596268942E-3</v>
      </c>
      <c r="DX34">
        <v>1.0959107210353218E-2</v>
      </c>
      <c r="DY34">
        <v>6.0292896545833717E-2</v>
      </c>
      <c r="DZ34">
        <v>9.8725237739333643E-2</v>
      </c>
      <c r="EA34">
        <v>7.4914147260147024E-3</v>
      </c>
      <c r="EB34">
        <v>4.2913608727801547E-3</v>
      </c>
      <c r="EC34">
        <v>0.15791396984553177</v>
      </c>
      <c r="ED34">
        <v>1.9266154352349028E-3</v>
      </c>
      <c r="EE34">
        <v>0.12389543471393526</v>
      </c>
      <c r="EF34">
        <v>2.0801113581472373E-2</v>
      </c>
      <c r="EG34">
        <v>6.3448434566482515E-3</v>
      </c>
      <c r="EH34">
        <v>1.8964163590128091E-2</v>
      </c>
      <c r="EI34">
        <v>3.2283346727612211E-2</v>
      </c>
      <c r="EJ34">
        <v>9.8836899105495292E-3</v>
      </c>
      <c r="EK34">
        <v>5.5190756571314711E-2</v>
      </c>
      <c r="EL34">
        <v>5.2577930417883082E-3</v>
      </c>
      <c r="EM34">
        <v>3.1610838518933192E-3</v>
      </c>
      <c r="EN34">
        <v>4.8278501967088721E-3</v>
      </c>
      <c r="EO34">
        <v>1.2926569516495972E-2</v>
      </c>
      <c r="EP34">
        <v>1.3906472149140484E-2</v>
      </c>
      <c r="EQ34">
        <v>1.5819012369586941E-2</v>
      </c>
      <c r="ER34">
        <v>3.2613508052285481E-2</v>
      </c>
      <c r="ES34">
        <v>3.5854177280747315E-2</v>
      </c>
      <c r="ET34">
        <v>5.0288655611371573E-2</v>
      </c>
      <c r="EU34">
        <v>1.5554070361605986E-3</v>
      </c>
      <c r="EV34">
        <v>8.8569228280422612E-3</v>
      </c>
      <c r="EW34">
        <v>3.9034460945313529E-2</v>
      </c>
      <c r="EX34">
        <v>8.7093456369371561E-3</v>
      </c>
      <c r="EY34">
        <v>6.9949170202961777E-3</v>
      </c>
      <c r="EZ34">
        <v>5.1034322452097609E-2</v>
      </c>
      <c r="FA34">
        <v>8.0805138152190079E-3</v>
      </c>
      <c r="FB34">
        <v>3.777523475028099E-3</v>
      </c>
      <c r="FC34">
        <v>1.212632225353941E-2</v>
      </c>
      <c r="FD34">
        <v>5.7024119815553546E-2</v>
      </c>
      <c r="FE34">
        <v>2.3801348490872006E-2</v>
      </c>
      <c r="FF34">
        <v>1.3584307306696797E-2</v>
      </c>
      <c r="FG34">
        <v>3.5528704095183064E-2</v>
      </c>
      <c r="FH34">
        <v>7.3975780049901968E-3</v>
      </c>
      <c r="FI34">
        <v>1.9896670271552119E-2</v>
      </c>
      <c r="FJ34">
        <v>2.8635843103275955E-2</v>
      </c>
      <c r="FK34">
        <v>8.7140403951091929E-3</v>
      </c>
      <c r="FL34">
        <v>2.6299635816489704E-2</v>
      </c>
      <c r="FM34">
        <v>0.1233040971436842</v>
      </c>
      <c r="FN34">
        <v>5.7486949277867065E-2</v>
      </c>
      <c r="FO34">
        <v>7.7251467279455749E-3</v>
      </c>
      <c r="FP34">
        <v>1.2298761146397833E-2</v>
      </c>
      <c r="FQ34">
        <v>1.3555351200472852E-2</v>
      </c>
      <c r="FR34">
        <v>7.087071569471641E-2</v>
      </c>
      <c r="FS34">
        <v>3.9146805404637573E-3</v>
      </c>
      <c r="FT34">
        <v>2.0646999116799514E-2</v>
      </c>
      <c r="FU34">
        <v>2.8253275262476677E-2</v>
      </c>
      <c r="FV34">
        <v>1.8428719187674206E-2</v>
      </c>
      <c r="FW34">
        <v>4.7568404236162758E-2</v>
      </c>
      <c r="FX34">
        <v>4.8485899370931413E-3</v>
      </c>
      <c r="FY34">
        <v>1.0033425717834577E-2</v>
      </c>
      <c r="FZ34">
        <v>2.3857249394169808E-2</v>
      </c>
      <c r="GA34">
        <v>2.3233220080536812E-2</v>
      </c>
      <c r="GB34">
        <v>1.7941107522480591E-2</v>
      </c>
      <c r="GC34">
        <v>6.7995022765698646E-2</v>
      </c>
      <c r="GD34">
        <v>3.8572389677572476E-2</v>
      </c>
      <c r="GE34">
        <v>1.2836525175847836E-2</v>
      </c>
      <c r="GF34">
        <v>1.240585925362441E-2</v>
      </c>
      <c r="GG34">
        <v>3.2295584356223886E-2</v>
      </c>
      <c r="GH34">
        <v>4.6432050849509274E-3</v>
      </c>
      <c r="GI34">
        <v>1.3568084534869228E-2</v>
      </c>
      <c r="GJ34">
        <v>2.4611766990832146E-2</v>
      </c>
      <c r="GK34">
        <v>5.8755389360541858E-2</v>
      </c>
      <c r="GL34">
        <v>1.8641691419390018E-2</v>
      </c>
      <c r="GM34">
        <v>8.8206259777678462E-3</v>
      </c>
      <c r="GN34">
        <v>1.3094465003363157E-2</v>
      </c>
      <c r="GO34">
        <v>3.8446087732614563E-2</v>
      </c>
      <c r="GP34">
        <v>1.3058183772224384E-2</v>
      </c>
      <c r="GQ34">
        <v>1.1104844274067549E-2</v>
      </c>
      <c r="GR34">
        <v>1.463881559433072E-2</v>
      </c>
      <c r="GS34">
        <v>1.8390601329130542E-2</v>
      </c>
      <c r="GT34">
        <v>5.2155682655402942E-2</v>
      </c>
      <c r="GU34">
        <v>2.2223947583380716E-2</v>
      </c>
      <c r="GV34">
        <v>0.17602441614502978</v>
      </c>
      <c r="GW34">
        <v>1.8699933402783924E-3</v>
      </c>
      <c r="GX34">
        <v>4.0743055404665211E-2</v>
      </c>
      <c r="GY34">
        <v>8.7159784453186197E-3</v>
      </c>
      <c r="GZ34">
        <v>3.6636929028811709E-3</v>
      </c>
      <c r="HA34">
        <v>7.8446857883788437E-3</v>
      </c>
      <c r="HB34">
        <v>0.18911791466351549</v>
      </c>
      <c r="HC34">
        <v>2.1761846446738668E-2</v>
      </c>
      <c r="HD34">
        <v>4.3639318410635241E-3</v>
      </c>
      <c r="HE34">
        <v>1.3748853007820101E-2</v>
      </c>
      <c r="HF34">
        <v>6.7171820191919921E-3</v>
      </c>
      <c r="HG34">
        <v>5.0246618918525998E-2</v>
      </c>
      <c r="HH34">
        <v>1.689532026387865E-2</v>
      </c>
      <c r="HI34">
        <v>0.21132317150709379</v>
      </c>
      <c r="HJ34">
        <v>6.1806578018890231E-3</v>
      </c>
      <c r="HK34">
        <v>6.469165023541068E-2</v>
      </c>
      <c r="HL34">
        <v>4.1077364929179933E-2</v>
      </c>
      <c r="HM34">
        <v>3.2450176164065744E-2</v>
      </c>
      <c r="HN34">
        <v>5.4123550592970193E-2</v>
      </c>
      <c r="HO34">
        <v>5.2417010811257193E-2</v>
      </c>
      <c r="HP34">
        <v>6.1938090483734456E-2</v>
      </c>
      <c r="HQ34">
        <v>3.2224104485047604E-3</v>
      </c>
      <c r="HR34">
        <v>4.6797552703987486E-2</v>
      </c>
      <c r="HS34">
        <v>3.6563737841593301E-2</v>
      </c>
      <c r="HT34">
        <v>1.0707459564602185E-2</v>
      </c>
      <c r="HU34">
        <v>4.9044425753211399E-2</v>
      </c>
      <c r="HV34">
        <v>1.2388449904522286E-2</v>
      </c>
      <c r="HW34">
        <v>4.2274720167202601E-2</v>
      </c>
      <c r="HX34">
        <v>5.8359913642780223E-3</v>
      </c>
      <c r="HY34">
        <v>1.9955628516674276E-2</v>
      </c>
      <c r="HZ34">
        <v>1.4993082055233479E-2</v>
      </c>
      <c r="IA34">
        <v>5.2415180515723494E-3</v>
      </c>
      <c r="IB34">
        <v>1.0178614806535336E-2</v>
      </c>
      <c r="IC34">
        <v>2.3662965819170332E-3</v>
      </c>
      <c r="ID34">
        <v>1.5225463644546647E-2</v>
      </c>
      <c r="IE34">
        <v>1.396468583026571E-2</v>
      </c>
      <c r="IF34">
        <v>6.7507801527638883E-2</v>
      </c>
      <c r="IG34">
        <v>9.6200802115926302E-3</v>
      </c>
      <c r="IH34">
        <v>7.4576135007017718E-3</v>
      </c>
      <c r="II34">
        <v>4.7276870410984995E-2</v>
      </c>
      <c r="IJ34">
        <v>2.2378963472122159E-2</v>
      </c>
      <c r="IK34">
        <v>8.081899254342452E-2</v>
      </c>
      <c r="IL34">
        <v>7.2988827839597908E-3</v>
      </c>
      <c r="IM34">
        <v>1.9686185600594267E-2</v>
      </c>
      <c r="IN34">
        <v>1.6976246102871618E-2</v>
      </c>
      <c r="IO34">
        <v>6.7760401936302912E-3</v>
      </c>
    </row>
    <row r="35" spans="5:249" x14ac:dyDescent="0.15">
      <c r="E35">
        <v>3.1026783546490546E-2</v>
      </c>
      <c r="F35">
        <v>1.2243463813035446E-3</v>
      </c>
      <c r="J35" s="17">
        <v>0.11695396205907761</v>
      </c>
      <c r="K35" s="17">
        <v>2.5129647080838983E-2</v>
      </c>
      <c r="L35" s="17">
        <v>4.8006705177109726E-2</v>
      </c>
      <c r="M35" s="17">
        <v>5.5945453085826241E-2</v>
      </c>
      <c r="N35" s="17">
        <v>8.3271472087631318E-2</v>
      </c>
      <c r="O35" s="17">
        <v>1.4191035644409163E-2</v>
      </c>
      <c r="P35" s="17">
        <v>1.540598442727625E-2</v>
      </c>
      <c r="Q35" s="17">
        <v>3.6480934545767688E-3</v>
      </c>
      <c r="R35" s="17">
        <v>5.4957837105237169E-2</v>
      </c>
      <c r="S35" s="17">
        <v>2.3898318876527821E-2</v>
      </c>
      <c r="T35">
        <v>2.7826645435763443E-3</v>
      </c>
      <c r="U35">
        <v>2.0725136077855189E-2</v>
      </c>
      <c r="V35">
        <v>8.4526906614107687E-3</v>
      </c>
      <c r="W35">
        <v>2.8361491305563286E-2</v>
      </c>
      <c r="X35">
        <v>2.2780740471973347E-2</v>
      </c>
      <c r="Y35">
        <v>2.3656684189762391E-2</v>
      </c>
      <c r="Z35">
        <v>2.8436310796865535E-2</v>
      </c>
      <c r="AA35">
        <v>2.7674995932307499E-2</v>
      </c>
      <c r="AB35">
        <v>6.546716714653962E-3</v>
      </c>
      <c r="AC35">
        <v>1.7016208360361294E-2</v>
      </c>
      <c r="AD35">
        <v>1.1498724815661499E-2</v>
      </c>
      <c r="AE35">
        <v>1.4886944335299895E-2</v>
      </c>
      <c r="AF35">
        <v>2.4883688491635501E-2</v>
      </c>
      <c r="AG35">
        <v>9.295358072755321E-3</v>
      </c>
      <c r="AH35">
        <v>2.8942219863810886E-2</v>
      </c>
      <c r="AI35">
        <v>1.6820785432958053E-2</v>
      </c>
      <c r="AJ35">
        <v>4.2550008929194506E-2</v>
      </c>
      <c r="AK35">
        <v>8.5803397082345648E-2</v>
      </c>
      <c r="AL35">
        <v>4.09390634194466E-2</v>
      </c>
      <c r="AM35">
        <v>3.6029978595852101E-2</v>
      </c>
      <c r="AN35">
        <v>8.9846100442658224E-3</v>
      </c>
      <c r="AO35">
        <v>1.9649613477130394E-2</v>
      </c>
      <c r="AP35">
        <v>1.5812199907467659E-2</v>
      </c>
      <c r="AQ35">
        <v>0.1129173101432267</v>
      </c>
      <c r="AR35">
        <v>1.5196200513361551E-2</v>
      </c>
      <c r="AS35">
        <v>8.2807760478103329E-2</v>
      </c>
      <c r="AT35">
        <v>4.575125780457396E-2</v>
      </c>
      <c r="AU35">
        <v>1.3662781355135163E-2</v>
      </c>
      <c r="AV35">
        <v>6.2685992136621807E-2</v>
      </c>
      <c r="AW35">
        <v>1.3356360842733015E-2</v>
      </c>
      <c r="AX35">
        <v>8.5665022018837755E-3</v>
      </c>
      <c r="AY35">
        <v>7.1680498783953273E-2</v>
      </c>
      <c r="AZ35">
        <v>1.4745679106601581E-2</v>
      </c>
      <c r="BA35">
        <v>1.587990451908609E-2</v>
      </c>
      <c r="BB35">
        <v>1.6237691936837505E-2</v>
      </c>
      <c r="BC35">
        <v>4.794614980271647E-2</v>
      </c>
      <c r="BD35">
        <v>6.2547635012566327E-2</v>
      </c>
      <c r="BE35">
        <v>3.3953590519389912E-2</v>
      </c>
      <c r="BF35">
        <v>2.896086501666114E-2</v>
      </c>
      <c r="BG35">
        <v>4.2154824048539818E-2</v>
      </c>
      <c r="BH35">
        <v>1.3544849863443804E-2</v>
      </c>
      <c r="BI35">
        <v>1.7567552830082687E-2</v>
      </c>
      <c r="BJ35">
        <v>2.8066918583155055E-3</v>
      </c>
      <c r="BK35">
        <v>1.5305117038862295E-2</v>
      </c>
      <c r="BL35">
        <v>3.9927264114373424E-2</v>
      </c>
      <c r="BM35">
        <v>9.7085382059047154E-2</v>
      </c>
      <c r="BN35">
        <v>9.0111423077887439E-3</v>
      </c>
      <c r="BO35">
        <v>5.0157967254117683E-2</v>
      </c>
      <c r="BP35">
        <v>5.5097557406217712E-3</v>
      </c>
      <c r="BQ35">
        <v>1.7118070847249086E-2</v>
      </c>
      <c r="BR35">
        <v>4.7161533084199174E-2</v>
      </c>
      <c r="BS35">
        <v>3.357751817009267E-2</v>
      </c>
      <c r="BT35">
        <v>1.8228508977262588E-2</v>
      </c>
      <c r="BU35">
        <v>1.4027747676664341E-2</v>
      </c>
      <c r="BV35">
        <v>1.8598335159935975E-2</v>
      </c>
      <c r="BW35">
        <v>3.4062728853586438E-2</v>
      </c>
      <c r="BX35">
        <v>1.0342423814145445E-2</v>
      </c>
      <c r="BY35">
        <v>3.3412281376940887E-3</v>
      </c>
      <c r="BZ35">
        <v>5.1720322166612903E-2</v>
      </c>
      <c r="CA35">
        <v>1.9177805969258617E-2</v>
      </c>
      <c r="CB35">
        <v>3.7784814719438028E-3</v>
      </c>
      <c r="CC35">
        <v>2.3416742144769222E-2</v>
      </c>
      <c r="CD35">
        <v>3.3075064020752651E-2</v>
      </c>
      <c r="CE35">
        <v>1.5760767511504424E-2</v>
      </c>
      <c r="CF35">
        <v>1.0016780570281065E-2</v>
      </c>
      <c r="CG35">
        <v>5.3779956458072979E-2</v>
      </c>
      <c r="CH35">
        <v>5.1540661840942879E-2</v>
      </c>
      <c r="CI35">
        <v>5.8171158026169055E-3</v>
      </c>
      <c r="CJ35">
        <v>6.7794825050387988E-3</v>
      </c>
      <c r="CK35">
        <v>3.5734358741462656E-2</v>
      </c>
      <c r="CL35">
        <v>1.1041334748761764E-2</v>
      </c>
      <c r="CM35">
        <v>1.0150026113737411E-2</v>
      </c>
      <c r="CN35">
        <v>0.16632044296789936</v>
      </c>
      <c r="CO35">
        <v>1.1463723852383069E-2</v>
      </c>
      <c r="CP35">
        <v>1.5804074928263627E-2</v>
      </c>
      <c r="CQ35">
        <v>6.2626971536353842E-3</v>
      </c>
      <c r="CR35">
        <v>2.4927348421867317E-2</v>
      </c>
      <c r="CS35">
        <v>1.4768138468176812E-2</v>
      </c>
      <c r="CT35">
        <v>4.0304873163736564E-2</v>
      </c>
      <c r="CU35">
        <v>5.6944996570517581E-3</v>
      </c>
      <c r="CV35">
        <v>3.5386223466011113E-2</v>
      </c>
      <c r="CW35">
        <v>0.13484466798994743</v>
      </c>
      <c r="CX35">
        <v>1.8765054006309729E-3</v>
      </c>
      <c r="CY35">
        <v>0.14138222624705232</v>
      </c>
      <c r="CZ35">
        <v>2.3175537217396302E-2</v>
      </c>
      <c r="DA35">
        <v>5.7220368083471716E-2</v>
      </c>
      <c r="DB35">
        <v>8.7847825318575143E-3</v>
      </c>
      <c r="DC35">
        <v>6.4403594974676449E-3</v>
      </c>
      <c r="DD35">
        <v>3.5096683931146302E-2</v>
      </c>
      <c r="DE35">
        <v>4.7294366119439615E-2</v>
      </c>
      <c r="DF35">
        <v>3.6421954967186872E-2</v>
      </c>
      <c r="DG35">
        <v>1.7711146776874898E-2</v>
      </c>
      <c r="DH35">
        <v>1.9162730947849812E-2</v>
      </c>
      <c r="DI35">
        <v>1.2890242716230967E-2</v>
      </c>
      <c r="DJ35">
        <v>9.9731808201698732E-2</v>
      </c>
      <c r="DK35">
        <v>3.2810416636909555E-2</v>
      </c>
      <c r="DL35">
        <v>7.6580720741709976E-3</v>
      </c>
      <c r="DM35">
        <v>3.3480943824896761E-2</v>
      </c>
      <c r="DN35">
        <v>9.2220586727903304E-3</v>
      </c>
      <c r="DO35">
        <v>0.1230978678892765</v>
      </c>
      <c r="DP35">
        <v>2.2416860962713336E-2</v>
      </c>
      <c r="DQ35">
        <v>1.6971257444468993E-2</v>
      </c>
      <c r="DR35">
        <v>7.8258740526778014E-3</v>
      </c>
      <c r="DS35">
        <v>7.6324676412406383E-3</v>
      </c>
      <c r="DT35">
        <v>1.3032109228482519E-2</v>
      </c>
      <c r="DU35">
        <v>4.4962225588553988E-3</v>
      </c>
      <c r="DV35">
        <v>5.3579644743325487E-2</v>
      </c>
      <c r="DW35">
        <v>4.5716720043854891E-3</v>
      </c>
      <c r="DX35">
        <v>9.1835205408239799E-3</v>
      </c>
      <c r="DY35">
        <v>6.6362749331351029E-2</v>
      </c>
      <c r="DZ35">
        <v>0.12041052495530279</v>
      </c>
      <c r="EA35">
        <v>1.036196337271067E-2</v>
      </c>
      <c r="EB35">
        <v>3.867679141259692E-3</v>
      </c>
      <c r="EC35">
        <v>0.12646400289601889</v>
      </c>
      <c r="ED35">
        <v>1.8602648241413868E-3</v>
      </c>
      <c r="EE35">
        <v>8.5438562721190422E-2</v>
      </c>
      <c r="EF35">
        <v>1.8152611547586121E-2</v>
      </c>
      <c r="EG35">
        <v>6.4507213549544976E-3</v>
      </c>
      <c r="EH35">
        <v>1.4135351724950495E-2</v>
      </c>
      <c r="EI35">
        <v>3.359003688501179E-2</v>
      </c>
      <c r="EJ35">
        <v>1.0858649369206825E-2</v>
      </c>
      <c r="EK35">
        <v>5.2488852502899822E-2</v>
      </c>
      <c r="EL35">
        <v>4.1186298221023154E-3</v>
      </c>
      <c r="EM35">
        <v>4.0155270804126241E-3</v>
      </c>
      <c r="EN35">
        <v>4.6434624167823275E-3</v>
      </c>
      <c r="EO35">
        <v>2.5544352720606525E-2</v>
      </c>
      <c r="EP35">
        <v>1.2019861794465597E-2</v>
      </c>
      <c r="EQ35">
        <v>1.6162186937327617E-2</v>
      </c>
      <c r="ER35">
        <v>3.1782158504495554E-2</v>
      </c>
      <c r="ES35">
        <v>2.607493800217477E-2</v>
      </c>
      <c r="ET35">
        <v>5.6970040377663074E-2</v>
      </c>
      <c r="EU35">
        <v>2.7747794155892152E-3</v>
      </c>
      <c r="EV35">
        <v>1.0202859111220769E-2</v>
      </c>
      <c r="EW35">
        <v>3.5338272971736695E-2</v>
      </c>
      <c r="EX35">
        <v>1.3999330887069934E-2</v>
      </c>
      <c r="EY35">
        <v>1.0208189657417693E-2</v>
      </c>
      <c r="EZ35">
        <v>3.5042327198046314E-2</v>
      </c>
      <c r="FA35">
        <v>1.0502754563444181E-2</v>
      </c>
      <c r="FB35">
        <v>3.2765935798435841E-3</v>
      </c>
      <c r="FC35">
        <v>1.7976357198584238E-2</v>
      </c>
      <c r="FD35">
        <v>4.7256837248434616E-2</v>
      </c>
      <c r="FE35">
        <v>2.3774428458304686E-2</v>
      </c>
      <c r="FF35">
        <v>5.3626172302276747E-3</v>
      </c>
      <c r="FG35">
        <v>3.856892561085544E-2</v>
      </c>
      <c r="FH35">
        <v>6.6481760682928926E-3</v>
      </c>
      <c r="FI35">
        <v>1.473114346317796E-2</v>
      </c>
      <c r="FJ35">
        <v>4.7290644973073087E-2</v>
      </c>
      <c r="FK35">
        <v>1.163928132987135E-2</v>
      </c>
      <c r="FL35">
        <v>3.0333649946142172E-2</v>
      </c>
      <c r="FM35">
        <v>5.0155299817368403E-2</v>
      </c>
      <c r="FN35">
        <v>4.2815833694928723E-2</v>
      </c>
      <c r="FO35">
        <v>9.8397083723810556E-3</v>
      </c>
      <c r="FP35">
        <v>1.1945563422293127E-2</v>
      </c>
      <c r="FQ35">
        <v>1.5579889562701874E-2</v>
      </c>
      <c r="FR35">
        <v>6.7033501605517035E-2</v>
      </c>
      <c r="FS35">
        <v>2.9437633376163002E-3</v>
      </c>
      <c r="FT35">
        <v>1.3041507927021989E-2</v>
      </c>
      <c r="FU35">
        <v>2.5109302069540308E-2</v>
      </c>
      <c r="FV35">
        <v>1.1602335381082775E-2</v>
      </c>
      <c r="FW35">
        <v>3.6123569383934545E-2</v>
      </c>
      <c r="FX35">
        <v>3.0539461173286668E-3</v>
      </c>
      <c r="FY35">
        <v>5.085210427150948E-3</v>
      </c>
      <c r="FZ35">
        <v>2.8270453433248851E-2</v>
      </c>
      <c r="GA35">
        <v>2.8276164550765023E-2</v>
      </c>
      <c r="GB35">
        <v>1.4853587206843372E-2</v>
      </c>
      <c r="GC35">
        <v>6.6179078133646638E-2</v>
      </c>
      <c r="GD35">
        <v>4.6998501551935953E-2</v>
      </c>
      <c r="GE35">
        <v>1.1127490772919009E-2</v>
      </c>
      <c r="GF35">
        <v>1.4743839018519028E-2</v>
      </c>
      <c r="GG35">
        <v>3.5892829797956154E-2</v>
      </c>
      <c r="GH35">
        <v>3.688676680121634E-3</v>
      </c>
      <c r="GI35">
        <v>1.344249946257446E-2</v>
      </c>
      <c r="GJ35">
        <v>1.4349148090749232E-2</v>
      </c>
      <c r="GK35">
        <v>7.2203570522914401E-2</v>
      </c>
      <c r="GL35">
        <v>2.4076438484937911E-2</v>
      </c>
      <c r="GM35">
        <v>1.254821699484945E-2</v>
      </c>
      <c r="GN35">
        <v>1.5155461911362137E-2</v>
      </c>
      <c r="GO35">
        <v>3.3348976315523041E-2</v>
      </c>
      <c r="GP35">
        <v>1.3288025792406939E-2</v>
      </c>
      <c r="GQ35">
        <v>1.0498068762611779E-2</v>
      </c>
      <c r="GR35">
        <v>1.4612689032002458E-2</v>
      </c>
      <c r="GS35">
        <v>1.3409815255477027E-2</v>
      </c>
      <c r="GT35">
        <v>4.4421858002057037E-2</v>
      </c>
      <c r="GU35">
        <v>2.6236631538588483E-2</v>
      </c>
      <c r="GV35">
        <v>0.23599879841877347</v>
      </c>
      <c r="GW35">
        <v>2.2896518400860391E-3</v>
      </c>
      <c r="GX35">
        <v>2.4963103483252799E-2</v>
      </c>
      <c r="GY35">
        <v>1.3351971172392335E-2</v>
      </c>
      <c r="GZ35">
        <v>4.438622103057184E-3</v>
      </c>
      <c r="HA35">
        <v>6.0143815047983395E-3</v>
      </c>
      <c r="HB35">
        <v>0.13901327687087711</v>
      </c>
      <c r="HC35">
        <v>2.4233215138466966E-2</v>
      </c>
      <c r="HD35">
        <v>5.3890125459593857E-3</v>
      </c>
      <c r="HE35">
        <v>1.6748960121761653E-2</v>
      </c>
      <c r="HF35">
        <v>7.1371583677293888E-3</v>
      </c>
      <c r="HG35">
        <v>5.4382440845411509E-2</v>
      </c>
      <c r="HH35">
        <v>1.6271073766972798E-2</v>
      </c>
      <c r="HI35">
        <v>0.25283674709073145</v>
      </c>
      <c r="HJ35">
        <v>9.0507193618679579E-3</v>
      </c>
      <c r="HK35">
        <v>6.0434542761691031E-2</v>
      </c>
      <c r="HL35">
        <v>5.5928621831456013E-2</v>
      </c>
      <c r="HM35">
        <v>2.7480072537686518E-2</v>
      </c>
      <c r="HN35">
        <v>6.6937389548731463E-2</v>
      </c>
      <c r="HO35">
        <v>4.6402059769595903E-2</v>
      </c>
      <c r="HP35">
        <v>5.7357495277650695E-2</v>
      </c>
      <c r="HQ35">
        <v>2.9432831129374334E-3</v>
      </c>
      <c r="HR35">
        <v>4.6215868746997416E-2</v>
      </c>
      <c r="HS35">
        <v>4.2758839775060634E-2</v>
      </c>
      <c r="HT35">
        <v>1.2764892262369586E-2</v>
      </c>
      <c r="HU35">
        <v>3.2910412632607244E-2</v>
      </c>
      <c r="HV35">
        <v>8.8379867204259038E-3</v>
      </c>
      <c r="HW35">
        <v>3.6569351952488199E-2</v>
      </c>
      <c r="HX35">
        <v>6.3079209411147511E-3</v>
      </c>
      <c r="HY35">
        <v>2.5025153303914461E-2</v>
      </c>
      <c r="HZ35">
        <v>1.3316136549329517E-2</v>
      </c>
      <c r="IA35">
        <v>3.7912780398117333E-3</v>
      </c>
      <c r="IB35">
        <v>1.4962374592288748E-2</v>
      </c>
      <c r="IC35">
        <v>2.6024808540583682E-3</v>
      </c>
      <c r="ID35">
        <v>1.4038522781190632E-2</v>
      </c>
      <c r="IE35">
        <v>1.8346910522084158E-2</v>
      </c>
      <c r="IF35">
        <v>5.8167967043503493E-2</v>
      </c>
      <c r="IG35">
        <v>1.1946742320164627E-2</v>
      </c>
      <c r="IH35">
        <v>9.5409488176550015E-3</v>
      </c>
      <c r="II35">
        <v>4.6777426823363534E-2</v>
      </c>
      <c r="IJ35">
        <v>1.8716284075236154E-2</v>
      </c>
      <c r="IK35">
        <v>0.12335154305551596</v>
      </c>
      <c r="IL35">
        <v>7.3833460464022916E-3</v>
      </c>
      <c r="IM35">
        <v>3.0569904375379403E-2</v>
      </c>
      <c r="IN35">
        <v>1.2999517743397259E-2</v>
      </c>
      <c r="IO35">
        <v>9.1750405084732554E-3</v>
      </c>
    </row>
    <row r="36" spans="5:249" x14ac:dyDescent="0.15">
      <c r="E36">
        <v>3.1702530371148188E-2</v>
      </c>
      <c r="F36">
        <v>1.3512246360438669E-3</v>
      </c>
      <c r="J36" s="17">
        <v>9.7309185251576433E-2</v>
      </c>
      <c r="K36" s="17">
        <v>2.3657984265588305E-2</v>
      </c>
      <c r="L36" s="17">
        <v>5.5069536120531892E-2</v>
      </c>
      <c r="M36" s="17">
        <v>3.3828469949537573E-2</v>
      </c>
      <c r="N36" s="17">
        <v>6.7277112062678307E-2</v>
      </c>
      <c r="O36" s="17">
        <v>1.4513493426380012E-2</v>
      </c>
      <c r="P36" s="17">
        <v>1.2532600114220324E-2</v>
      </c>
      <c r="Q36" s="17">
        <v>4.5680723747190495E-3</v>
      </c>
      <c r="R36" s="17">
        <v>6.9325884294600973E-2</v>
      </c>
      <c r="S36" s="17">
        <v>3.5889859615122442E-2</v>
      </c>
      <c r="T36">
        <v>3.2643236345941571E-3</v>
      </c>
      <c r="U36">
        <v>2.5555101031646769E-2</v>
      </c>
      <c r="V36">
        <v>8.9190909310537612E-3</v>
      </c>
      <c r="W36">
        <v>2.1644047727038603E-2</v>
      </c>
      <c r="X36">
        <v>2.3160401306652353E-2</v>
      </c>
      <c r="Y36">
        <v>1.3328690682650954E-2</v>
      </c>
      <c r="Z36">
        <v>3.5510161521066327E-2</v>
      </c>
      <c r="AA36">
        <v>2.3213335519926086E-2</v>
      </c>
      <c r="AB36">
        <v>5.6185256242104603E-3</v>
      </c>
      <c r="AC36">
        <v>1.5519027148811891E-2</v>
      </c>
      <c r="AD36">
        <v>1.1050915983657825E-2</v>
      </c>
      <c r="AE36">
        <v>1.805368166133586E-2</v>
      </c>
      <c r="AF36">
        <v>3.3723583076636393E-2</v>
      </c>
      <c r="AG36">
        <v>8.653131864508775E-3</v>
      </c>
      <c r="AH36">
        <v>2.5924012815804337E-2</v>
      </c>
      <c r="AI36">
        <v>1.9402566404751413E-2</v>
      </c>
      <c r="AJ36">
        <v>3.9555428519801955E-2</v>
      </c>
      <c r="AK36">
        <v>7.6488926831418322E-2</v>
      </c>
      <c r="AL36">
        <v>5.4066173181082755E-2</v>
      </c>
      <c r="AM36">
        <v>4.5561492484956577E-2</v>
      </c>
      <c r="AN36">
        <v>6.7572187692803379E-3</v>
      </c>
      <c r="AO36">
        <v>2.4112378569816479E-2</v>
      </c>
      <c r="AP36">
        <v>1.7848018165114492E-2</v>
      </c>
      <c r="AQ36">
        <v>0.11782855094243902</v>
      </c>
      <c r="AR36">
        <v>1.2869177855183938E-2</v>
      </c>
      <c r="AS36">
        <v>9.0334106370724254E-2</v>
      </c>
      <c r="AT36">
        <v>4.3258200067511139E-2</v>
      </c>
      <c r="AU36">
        <v>1.5441297052531607E-2</v>
      </c>
      <c r="AV36">
        <v>4.5726516548634577E-2</v>
      </c>
      <c r="AW36">
        <v>8.9963349768281409E-3</v>
      </c>
      <c r="AX36">
        <v>7.1565541547051678E-3</v>
      </c>
      <c r="AY36">
        <v>6.4293034044571776E-2</v>
      </c>
      <c r="AZ36">
        <v>1.5661552079751669E-2</v>
      </c>
      <c r="BA36">
        <v>1.8414681642559862E-2</v>
      </c>
      <c r="BB36">
        <v>1.718931270595439E-2</v>
      </c>
      <c r="BC36">
        <v>5.4772584262078698E-2</v>
      </c>
      <c r="BD36">
        <v>6.6227035401548409E-2</v>
      </c>
      <c r="BE36">
        <v>3.2145054607504095E-2</v>
      </c>
      <c r="BF36">
        <v>2.5427428828386344E-2</v>
      </c>
      <c r="BG36">
        <v>3.2396829111189143E-2</v>
      </c>
      <c r="BH36">
        <v>1.4363455309291362E-2</v>
      </c>
      <c r="BI36">
        <v>1.7883220317523079E-2</v>
      </c>
      <c r="BJ36">
        <v>3.3810711840250923E-3</v>
      </c>
      <c r="BK36">
        <v>1.8315523505221826E-2</v>
      </c>
      <c r="BL36">
        <v>4.2894033806927273E-2</v>
      </c>
      <c r="BM36">
        <v>8.1565365963132325E-2</v>
      </c>
      <c r="BN36">
        <v>7.0761838544861249E-3</v>
      </c>
      <c r="BO36">
        <v>5.312549597777249E-2</v>
      </c>
      <c r="BP36">
        <v>6.0861540629649291E-3</v>
      </c>
      <c r="BQ36">
        <v>1.8751453584059677E-2</v>
      </c>
      <c r="BR36">
        <v>4.2765874454214044E-2</v>
      </c>
      <c r="BS36">
        <v>3.6585217646056156E-2</v>
      </c>
      <c r="BT36">
        <v>1.4542371216787317E-2</v>
      </c>
      <c r="BU36">
        <v>1.8349572260890363E-2</v>
      </c>
      <c r="BV36">
        <v>2.2141438196996838E-2</v>
      </c>
      <c r="BW36">
        <v>3.9233371741935578E-2</v>
      </c>
      <c r="BX36">
        <v>1.2239771250224643E-2</v>
      </c>
      <c r="BY36">
        <v>2.8220518597042851E-3</v>
      </c>
      <c r="BZ36">
        <v>3.8764883955061447E-2</v>
      </c>
      <c r="CA36">
        <v>1.5467745430282993E-2</v>
      </c>
      <c r="CB36">
        <v>4.2501396753814504E-3</v>
      </c>
      <c r="CC36">
        <v>2.9196155907939853E-2</v>
      </c>
      <c r="CD36">
        <v>3.9695942024740763E-2</v>
      </c>
      <c r="CE36">
        <v>2.3457258545117921E-2</v>
      </c>
      <c r="CF36">
        <v>7.8870119720984514E-3</v>
      </c>
      <c r="CG36">
        <v>5.164664844165371E-2</v>
      </c>
      <c r="CH36">
        <v>6.6538986779066722E-2</v>
      </c>
      <c r="CI36">
        <v>6.6628638800337679E-3</v>
      </c>
      <c r="CJ36">
        <v>8.624861008937881E-3</v>
      </c>
      <c r="CK36">
        <v>3.5972761517242775E-2</v>
      </c>
      <c r="CL36">
        <v>1.430703938864804E-2</v>
      </c>
      <c r="CM36">
        <v>9.5114903426964104E-3</v>
      </c>
      <c r="CN36">
        <v>0.15369324114301255</v>
      </c>
      <c r="CO36">
        <v>1.2911204043222718E-2</v>
      </c>
      <c r="CP36">
        <v>1.5705893368794313E-2</v>
      </c>
      <c r="CQ36">
        <v>6.1883499746619554E-3</v>
      </c>
      <c r="CR36">
        <v>3.1945229045882706E-2</v>
      </c>
      <c r="CS36">
        <v>1.6994812617449968E-2</v>
      </c>
      <c r="CT36">
        <v>4.555946927428145E-2</v>
      </c>
      <c r="CU36">
        <v>7.1798085074271083E-3</v>
      </c>
      <c r="CV36">
        <v>2.8892999817053205E-2</v>
      </c>
      <c r="CW36">
        <v>0.14838715423796398</v>
      </c>
      <c r="CX36">
        <v>1.7124098377479594E-3</v>
      </c>
      <c r="CY36">
        <v>0.13293716636812511</v>
      </c>
      <c r="CZ36">
        <v>2.1502987204510916E-2</v>
      </c>
      <c r="DA36">
        <v>4.3816639143375739E-2</v>
      </c>
      <c r="DB36">
        <v>8.5520575005486755E-3</v>
      </c>
      <c r="DC36">
        <v>8.9759955450958388E-3</v>
      </c>
      <c r="DD36">
        <v>4.0695271277446293E-2</v>
      </c>
      <c r="DE36">
        <v>5.2541534233495939E-2</v>
      </c>
      <c r="DF36">
        <v>2.2182837627245433E-2</v>
      </c>
      <c r="DG36">
        <v>1.9462515180168987E-2</v>
      </c>
      <c r="DH36">
        <v>1.9114396825020977E-2</v>
      </c>
      <c r="DI36">
        <v>1.398109505327837E-2</v>
      </c>
      <c r="DJ36">
        <v>9.6323191984308928E-2</v>
      </c>
      <c r="DK36">
        <v>3.1982377466295883E-2</v>
      </c>
      <c r="DL36">
        <v>7.161802109837345E-3</v>
      </c>
      <c r="DM36">
        <v>3.6173669785384166E-2</v>
      </c>
      <c r="DN36">
        <v>7.8727714859399139E-3</v>
      </c>
      <c r="DO36">
        <v>9.902956082897324E-2</v>
      </c>
      <c r="DP36">
        <v>2.5281546313163886E-2</v>
      </c>
      <c r="DQ36">
        <v>1.1914534977863548E-2</v>
      </c>
      <c r="DR36">
        <v>8.8130682976768834E-3</v>
      </c>
      <c r="DS36">
        <v>7.8631092256698648E-3</v>
      </c>
      <c r="DT36">
        <v>1.5263540217738644E-2</v>
      </c>
      <c r="DU36">
        <v>4.3038940214333559E-3</v>
      </c>
      <c r="DV36">
        <v>6.8565865099180251E-2</v>
      </c>
      <c r="DW36">
        <v>4.0179766585050555E-3</v>
      </c>
      <c r="DX36">
        <v>1.1880240135783701E-2</v>
      </c>
      <c r="DY36">
        <v>5.1340883531928026E-2</v>
      </c>
      <c r="DZ36">
        <v>0.10469269978612461</v>
      </c>
      <c r="EA36">
        <v>1.0504840029797537E-2</v>
      </c>
      <c r="EB36">
        <v>5.5882729451438851E-3</v>
      </c>
      <c r="EC36">
        <v>0.12840774408285358</v>
      </c>
      <c r="ED36">
        <v>2.0356283859564082E-3</v>
      </c>
      <c r="EE36">
        <v>0.11864081067035469</v>
      </c>
      <c r="EF36">
        <v>2.7814873814032907E-2</v>
      </c>
      <c r="EG36">
        <v>8.0438320282553311E-3</v>
      </c>
      <c r="EH36">
        <v>1.6679654859914215E-2</v>
      </c>
      <c r="EI36">
        <v>4.3259867959113976E-2</v>
      </c>
      <c r="EJ36">
        <v>1.2613964053850565E-2</v>
      </c>
      <c r="EK36">
        <v>3.3986577746510295E-2</v>
      </c>
      <c r="EL36">
        <v>4.7865419324572668E-3</v>
      </c>
      <c r="EM36">
        <v>3.7986775309276567E-3</v>
      </c>
      <c r="EN36">
        <v>3.6795568866039223E-3</v>
      </c>
      <c r="EO36">
        <v>3.0175065293327277E-2</v>
      </c>
      <c r="EP36">
        <v>1.6420533731688128E-2</v>
      </c>
      <c r="EQ36">
        <v>1.3839918543139667E-2</v>
      </c>
      <c r="ER36">
        <v>2.6497180645933295E-2</v>
      </c>
      <c r="ES36">
        <v>2.2458919290504389E-2</v>
      </c>
      <c r="ET36">
        <v>5.1848191485725226E-2</v>
      </c>
      <c r="EU36">
        <v>3.4952085433507564E-3</v>
      </c>
      <c r="EV36">
        <v>9.6764078244652805E-3</v>
      </c>
      <c r="EW36">
        <v>4.6482540036370139E-2</v>
      </c>
      <c r="EX36">
        <v>1.8072513932908419E-2</v>
      </c>
      <c r="EY36">
        <v>6.4602827237909112E-3</v>
      </c>
      <c r="EZ36">
        <v>5.2013459208664466E-2</v>
      </c>
      <c r="FA36">
        <v>1.2523227492002846E-2</v>
      </c>
      <c r="FB36">
        <v>3.0614411290697374E-3</v>
      </c>
      <c r="FC36">
        <v>1.4909747664359652E-2</v>
      </c>
      <c r="FD36">
        <v>3.8483430602238453E-2</v>
      </c>
      <c r="FE36">
        <v>3.080592136081757E-2</v>
      </c>
      <c r="FF36">
        <v>5.6495277618522216E-3</v>
      </c>
      <c r="FG36">
        <v>3.7618401488580748E-2</v>
      </c>
      <c r="FH36">
        <v>5.5929351018054871E-3</v>
      </c>
      <c r="FI36">
        <v>1.3839174574309502E-2</v>
      </c>
      <c r="FJ36">
        <v>6.4781619456453415E-2</v>
      </c>
      <c r="FK36">
        <v>1.3575304092349263E-2</v>
      </c>
      <c r="FL36">
        <v>2.1590286327463997E-2</v>
      </c>
      <c r="FM36">
        <v>5.7214273163340205E-2</v>
      </c>
      <c r="FN36">
        <v>5.3368435048139755E-2</v>
      </c>
      <c r="FO36">
        <v>9.2295272762202962E-3</v>
      </c>
      <c r="FP36">
        <v>1.220402367388447E-2</v>
      </c>
      <c r="FQ36">
        <v>1.946062993158066E-2</v>
      </c>
      <c r="FR36">
        <v>5.7098314190116926E-2</v>
      </c>
      <c r="FS36">
        <v>2.8194672982331352E-3</v>
      </c>
      <c r="FT36">
        <v>1.560643524989022E-2</v>
      </c>
      <c r="FU36">
        <v>3.2858822116141044E-2</v>
      </c>
      <c r="FV36">
        <v>1.5445393047802116E-2</v>
      </c>
      <c r="FW36">
        <v>3.6450942022758663E-2</v>
      </c>
      <c r="FX36">
        <v>4.0294519620774905E-3</v>
      </c>
      <c r="FY36">
        <v>7.1138250425783253E-3</v>
      </c>
      <c r="FZ36">
        <v>2.7180362320052116E-2</v>
      </c>
      <c r="GA36">
        <v>2.6977022931722317E-2</v>
      </c>
      <c r="GB36">
        <v>1.7192450270646021E-2</v>
      </c>
      <c r="GC36">
        <v>6.5142405945842058E-2</v>
      </c>
      <c r="GD36">
        <v>4.9034046905779387E-2</v>
      </c>
      <c r="GE36">
        <v>8.082275093984766E-3</v>
      </c>
      <c r="GF36">
        <v>1.0922112820123508E-2</v>
      </c>
      <c r="GG36">
        <v>3.3723611111642349E-2</v>
      </c>
      <c r="GH36">
        <v>3.6349080882423896E-3</v>
      </c>
      <c r="GI36">
        <v>1.4574161026137435E-2</v>
      </c>
      <c r="GJ36">
        <v>1.739494245738938E-2</v>
      </c>
      <c r="GK36">
        <v>5.948113730310365E-2</v>
      </c>
      <c r="GL36">
        <v>2.6773736455347596E-2</v>
      </c>
      <c r="GM36">
        <v>9.9509988622249034E-3</v>
      </c>
      <c r="GN36">
        <v>1.6138174288189238E-2</v>
      </c>
      <c r="GO36">
        <v>4.3996092997758023E-2</v>
      </c>
      <c r="GP36">
        <v>1.4075674074910957E-2</v>
      </c>
      <c r="GQ36">
        <v>1.3158144634983861E-2</v>
      </c>
      <c r="GR36">
        <v>1.5305562577244532E-2</v>
      </c>
      <c r="GS36">
        <v>1.2518885426350868E-2</v>
      </c>
      <c r="GT36">
        <v>3.9960393537103726E-2</v>
      </c>
      <c r="GU36">
        <v>3.0690643116371649E-2</v>
      </c>
      <c r="GV36">
        <v>0.25873041367611183</v>
      </c>
      <c r="GW36">
        <v>2.0147815848510124E-3</v>
      </c>
      <c r="GX36">
        <v>1.9059401626950315E-2</v>
      </c>
      <c r="GY36">
        <v>1.7053096043269413E-2</v>
      </c>
      <c r="GZ36">
        <v>6.480927920808263E-3</v>
      </c>
      <c r="HA36">
        <v>6.8564256025168569E-3</v>
      </c>
      <c r="HB36">
        <v>0.13454849678498845</v>
      </c>
      <c r="HC36">
        <v>2.6272595585304571E-2</v>
      </c>
      <c r="HD36">
        <v>4.9834912511590636E-3</v>
      </c>
      <c r="HE36">
        <v>1.7222558052526919E-2</v>
      </c>
      <c r="HF36">
        <v>9.5994505117658491E-3</v>
      </c>
      <c r="HG36">
        <v>6.7968354712241053E-2</v>
      </c>
      <c r="HH36">
        <v>1.8023728021526204E-2</v>
      </c>
      <c r="HI36">
        <v>0.30448109584074162</v>
      </c>
      <c r="HJ36">
        <v>1.12594516816369E-2</v>
      </c>
      <c r="HK36">
        <v>5.7549331823883262E-2</v>
      </c>
      <c r="HL36">
        <v>5.9093043715799216E-2</v>
      </c>
      <c r="HM36">
        <v>2.9820000491463508E-2</v>
      </c>
      <c r="HN36">
        <v>7.6067977074880555E-2</v>
      </c>
      <c r="HO36">
        <v>5.2502993520931504E-2</v>
      </c>
      <c r="HP36">
        <v>4.4384822509401407E-2</v>
      </c>
      <c r="HQ36">
        <v>3.8608555043191939E-3</v>
      </c>
      <c r="HR36">
        <v>4.4985877503179762E-2</v>
      </c>
      <c r="HS36">
        <v>4.6743730831709851E-2</v>
      </c>
      <c r="HT36">
        <v>1.6263369114451514E-2</v>
      </c>
      <c r="HU36">
        <v>3.6952615542678924E-2</v>
      </c>
      <c r="HV36">
        <v>9.9935713636288611E-3</v>
      </c>
      <c r="HW36">
        <v>3.9142404141924755E-2</v>
      </c>
      <c r="HX36">
        <v>6.988550800592656E-3</v>
      </c>
      <c r="HY36">
        <v>2.0795061067701869E-2</v>
      </c>
      <c r="HZ36">
        <v>1.2599710554415382E-2</v>
      </c>
      <c r="IA36">
        <v>4.5470140809615294E-3</v>
      </c>
      <c r="IB36">
        <v>1.500373282617078E-2</v>
      </c>
      <c r="IC36">
        <v>3.2537266597511324E-3</v>
      </c>
      <c r="ID36">
        <v>1.4653376238877676E-2</v>
      </c>
      <c r="IE36">
        <v>1.6220736550148888E-2</v>
      </c>
      <c r="IF36">
        <v>5.2263834035059485E-2</v>
      </c>
      <c r="IG36">
        <v>8.4362178865876152E-3</v>
      </c>
      <c r="IH36">
        <v>1.2896505423972558E-2</v>
      </c>
      <c r="II36">
        <v>4.1169731026725796E-2</v>
      </c>
      <c r="IJ36">
        <v>1.6500252837879665E-2</v>
      </c>
      <c r="IK36">
        <v>0.15079061714255068</v>
      </c>
      <c r="IL36">
        <v>6.9184732706792365E-3</v>
      </c>
      <c r="IM36">
        <v>3.0872133803506931E-2</v>
      </c>
      <c r="IN36">
        <v>1.5807096938256385E-2</v>
      </c>
      <c r="IO36">
        <v>9.8963959966088793E-3</v>
      </c>
    </row>
    <row r="37" spans="5:249" x14ac:dyDescent="0.15">
      <c r="E37">
        <v>3.1559087318900926E-2</v>
      </c>
      <c r="F37">
        <v>1.2721164414655826E-3</v>
      </c>
      <c r="J37" s="17">
        <v>8.5383520736857579E-2</v>
      </c>
      <c r="K37" s="17">
        <v>2.7125733094113588E-2</v>
      </c>
      <c r="L37" s="17">
        <v>5.8292049869187325E-2</v>
      </c>
      <c r="M37" s="17">
        <v>2.8481605631631123E-2</v>
      </c>
      <c r="N37" s="17">
        <v>7.8465443004838153E-2</v>
      </c>
      <c r="O37" s="17">
        <v>1.3212508568266466E-2</v>
      </c>
      <c r="P37" s="17">
        <v>1.2337202908955021E-2</v>
      </c>
      <c r="Q37" s="17">
        <v>4.4580973660987688E-3</v>
      </c>
      <c r="R37" s="17">
        <v>8.1920818087782885E-2</v>
      </c>
      <c r="S37" s="17">
        <v>3.7543672966650489E-2</v>
      </c>
      <c r="T37">
        <v>3.9903405327829308E-3</v>
      </c>
      <c r="U37">
        <v>2.3699221488630916E-2</v>
      </c>
      <c r="V37">
        <v>9.4869003203180841E-3</v>
      </c>
      <c r="W37">
        <v>2.2659737939921681E-2</v>
      </c>
      <c r="X37">
        <v>2.1849870225216908E-2</v>
      </c>
      <c r="Y37">
        <v>1.4956207209294685E-2</v>
      </c>
      <c r="Z37">
        <v>4.4466963219710998E-2</v>
      </c>
      <c r="AA37">
        <v>2.9002252518589643E-2</v>
      </c>
      <c r="AB37">
        <v>5.2004501886516409E-3</v>
      </c>
      <c r="AC37">
        <v>1.9227373513356981E-2</v>
      </c>
      <c r="AD37">
        <v>1.0610232154955041E-2</v>
      </c>
      <c r="AE37">
        <v>1.7771685346116589E-2</v>
      </c>
      <c r="AF37">
        <v>2.8001830818292266E-2</v>
      </c>
      <c r="AG37">
        <v>1.0513606911704462E-2</v>
      </c>
      <c r="AH37">
        <v>2.8124361591477024E-2</v>
      </c>
      <c r="AI37">
        <v>2.1312871598033151E-2</v>
      </c>
      <c r="AJ37">
        <v>3.9658050942720402E-2</v>
      </c>
      <c r="AK37">
        <v>6.5514928511224896E-2</v>
      </c>
      <c r="AL37">
        <v>6.0687977218546442E-2</v>
      </c>
      <c r="AM37">
        <v>4.9775315604273007E-2</v>
      </c>
      <c r="AN37">
        <v>6.2959250738301685E-3</v>
      </c>
      <c r="AO37">
        <v>2.4185836964611941E-2</v>
      </c>
      <c r="AP37">
        <v>2.2812029668976823E-2</v>
      </c>
      <c r="AQ37">
        <v>0.10462105138350192</v>
      </c>
      <c r="AR37">
        <v>1.3200380954012858E-2</v>
      </c>
      <c r="AS37">
        <v>7.3745427948300593E-2</v>
      </c>
      <c r="AT37">
        <v>4.8691905928163567E-2</v>
      </c>
      <c r="AU37">
        <v>1.6104953397871026E-2</v>
      </c>
      <c r="AV37">
        <v>5.3463888408984368E-2</v>
      </c>
      <c r="AW37">
        <v>7.4005369878906565E-3</v>
      </c>
      <c r="AX37">
        <v>7.7312255639610163E-3</v>
      </c>
      <c r="AY37">
        <v>5.6851434004417042E-2</v>
      </c>
      <c r="AZ37">
        <v>1.5335128973112995E-2</v>
      </c>
      <c r="BA37">
        <v>2.1221120464789932E-2</v>
      </c>
      <c r="BB37">
        <v>1.8697896559596638E-2</v>
      </c>
      <c r="BC37">
        <v>5.0984790636432201E-2</v>
      </c>
      <c r="BD37">
        <v>6.7086467274608416E-2</v>
      </c>
      <c r="BE37">
        <v>3.2808689063092672E-2</v>
      </c>
      <c r="BF37">
        <v>2.5405003095454504E-2</v>
      </c>
      <c r="BG37">
        <v>2.747244374200487E-2</v>
      </c>
      <c r="BH37">
        <v>1.4263656423621995E-2</v>
      </c>
      <c r="BI37">
        <v>1.8066336071235357E-2</v>
      </c>
      <c r="BJ37">
        <v>3.3884298130594098E-3</v>
      </c>
      <c r="BK37">
        <v>1.6645438060858716E-2</v>
      </c>
      <c r="BL37">
        <v>4.1930434341133423E-2</v>
      </c>
      <c r="BM37">
        <v>7.4727997567160573E-2</v>
      </c>
      <c r="BN37">
        <v>7.2443133548087384E-3</v>
      </c>
      <c r="BO37">
        <v>4.8949352561534397E-2</v>
      </c>
      <c r="BP37">
        <v>5.8290476566948092E-3</v>
      </c>
      <c r="BQ37">
        <v>1.7875563019686919E-2</v>
      </c>
      <c r="BR37">
        <v>4.1385846981190022E-2</v>
      </c>
      <c r="BS37">
        <v>4.0204721729325758E-2</v>
      </c>
      <c r="BT37">
        <v>1.6364603054876879E-2</v>
      </c>
      <c r="BU37">
        <v>2.3364863712103282E-2</v>
      </c>
      <c r="BV37">
        <v>2.0975655549757215E-2</v>
      </c>
      <c r="BW37">
        <v>3.6713745115245527E-2</v>
      </c>
      <c r="BX37">
        <v>1.401054818106655E-2</v>
      </c>
      <c r="BY37">
        <v>2.515703989493091E-3</v>
      </c>
      <c r="BZ37">
        <v>3.6526516857721729E-2</v>
      </c>
      <c r="CA37">
        <v>1.3934411337994147E-2</v>
      </c>
      <c r="CB37">
        <v>3.482591363228313E-3</v>
      </c>
      <c r="CC37">
        <v>2.6762656840819528E-2</v>
      </c>
      <c r="CD37">
        <v>4.4125815331814658E-2</v>
      </c>
      <c r="CE37">
        <v>2.1063594006655421E-2</v>
      </c>
      <c r="CF37">
        <v>7.2145574947733116E-3</v>
      </c>
      <c r="CG37">
        <v>4.9353066049426846E-2</v>
      </c>
      <c r="CH37">
        <v>6.4564849365090285E-2</v>
      </c>
      <c r="CI37">
        <v>6.3598865979280928E-3</v>
      </c>
      <c r="CJ37">
        <v>7.9208467329205823E-3</v>
      </c>
      <c r="CK37">
        <v>3.2263202745507147E-2</v>
      </c>
      <c r="CL37">
        <v>1.4958036014224036E-2</v>
      </c>
      <c r="CM37">
        <v>9.7952559757691054E-3</v>
      </c>
      <c r="CN37">
        <v>0.15647819689819731</v>
      </c>
      <c r="CO37">
        <v>1.0509063086403118E-2</v>
      </c>
      <c r="CP37">
        <v>1.5182183786857316E-2</v>
      </c>
      <c r="CQ37">
        <v>5.9530455933210066E-3</v>
      </c>
      <c r="CR37">
        <v>3.1697954982351083E-2</v>
      </c>
      <c r="CS37">
        <v>1.9135619221318928E-2</v>
      </c>
      <c r="CT37">
        <v>4.131408177876348E-2</v>
      </c>
      <c r="CU37">
        <v>7.3021602281035892E-3</v>
      </c>
      <c r="CV37">
        <v>3.505320183584397E-2</v>
      </c>
      <c r="CW37">
        <v>0.14591118164849456</v>
      </c>
      <c r="CX37">
        <v>1.5364498460656269E-3</v>
      </c>
      <c r="CY37">
        <v>0.11153930402968754</v>
      </c>
      <c r="CZ37">
        <v>1.8357775788158347E-2</v>
      </c>
      <c r="DA37">
        <v>4.0850713429299912E-2</v>
      </c>
      <c r="DB37">
        <v>8.8657844278637321E-3</v>
      </c>
      <c r="DC37">
        <v>9.2389992905767132E-3</v>
      </c>
      <c r="DD37">
        <v>4.5117514730778657E-2</v>
      </c>
      <c r="DE37">
        <v>5.3222893658041052E-2</v>
      </c>
      <c r="DF37">
        <v>2.0434904642323646E-2</v>
      </c>
      <c r="DG37">
        <v>2.0526557907794268E-2</v>
      </c>
      <c r="DH37">
        <v>1.6675911813683844E-2</v>
      </c>
      <c r="DI37">
        <v>1.4431812148991793E-2</v>
      </c>
      <c r="DJ37">
        <v>0.10051331640267697</v>
      </c>
      <c r="DK37">
        <v>3.4817544724264286E-2</v>
      </c>
      <c r="DL37">
        <v>6.96689096105166E-3</v>
      </c>
      <c r="DM37">
        <v>3.3824598179906094E-2</v>
      </c>
      <c r="DN37">
        <v>7.480956189608162E-3</v>
      </c>
      <c r="DO37">
        <v>7.7970153724132421E-2</v>
      </c>
      <c r="DP37">
        <v>2.8767092386068546E-2</v>
      </c>
      <c r="DQ37">
        <v>1.095319014361024E-2</v>
      </c>
      <c r="DR37">
        <v>1.0183562164265339E-2</v>
      </c>
      <c r="DS37">
        <v>7.0625003669450258E-3</v>
      </c>
      <c r="DT37">
        <v>1.4658299385836057E-2</v>
      </c>
      <c r="DU37">
        <v>4.0890971301371535E-3</v>
      </c>
      <c r="DV37">
        <v>7.3031848333557595E-2</v>
      </c>
      <c r="DW37">
        <v>3.7838605190662145E-3</v>
      </c>
      <c r="DX37">
        <v>1.4515923571241597E-2</v>
      </c>
      <c r="DY37">
        <v>5.2357568832487184E-2</v>
      </c>
      <c r="DZ37">
        <v>0.11731937570341149</v>
      </c>
      <c r="EA37">
        <v>1.1197211206280502E-2</v>
      </c>
      <c r="EB37">
        <v>6.2243039843568439E-3</v>
      </c>
      <c r="EC37">
        <v>0.1281125957620137</v>
      </c>
      <c r="ED37">
        <v>2.2932699038377118E-3</v>
      </c>
      <c r="EE37">
        <v>0.13378787851002497</v>
      </c>
      <c r="EF37">
        <v>2.8876990758784127E-2</v>
      </c>
      <c r="EG37">
        <v>8.5814117669624889E-3</v>
      </c>
      <c r="EH37">
        <v>1.7020724400418831E-2</v>
      </c>
      <c r="EI37">
        <v>4.545445317384849E-2</v>
      </c>
      <c r="EJ37">
        <v>1.4967564414522232E-2</v>
      </c>
      <c r="EK37">
        <v>3.018273470953323E-2</v>
      </c>
      <c r="EL37">
        <v>5.3888611327560284E-3</v>
      </c>
      <c r="EM37">
        <v>3.8400189519174348E-3</v>
      </c>
      <c r="EN37">
        <v>3.2161064012272856E-3</v>
      </c>
      <c r="EO37">
        <v>3.3321913965425512E-2</v>
      </c>
      <c r="EP37">
        <v>1.8929881985722728E-2</v>
      </c>
      <c r="EQ37">
        <v>1.290033155388207E-2</v>
      </c>
      <c r="ER37">
        <v>2.5012889564790145E-2</v>
      </c>
      <c r="ES37">
        <v>2.2650317188840492E-2</v>
      </c>
      <c r="ET37">
        <v>4.8878714156727988E-2</v>
      </c>
      <c r="EU37">
        <v>3.8902654889149562E-3</v>
      </c>
      <c r="EV37">
        <v>9.6794900266812985E-3</v>
      </c>
      <c r="EW37">
        <v>4.2308390399280242E-2</v>
      </c>
      <c r="EX37">
        <v>2.1356482000767816E-2</v>
      </c>
      <c r="EY37">
        <v>7.7163215095294542E-3</v>
      </c>
      <c r="EZ37">
        <v>4.9165550572431257E-2</v>
      </c>
      <c r="FA37">
        <v>1.1467240527765241E-2</v>
      </c>
      <c r="FB37">
        <v>3.1961467066551237E-3</v>
      </c>
      <c r="FC37">
        <v>1.4212555635942122E-2</v>
      </c>
      <c r="FD37">
        <v>3.6468644892261391E-2</v>
      </c>
      <c r="FE37">
        <v>3.020289871876311E-2</v>
      </c>
      <c r="FF37">
        <v>5.4998958895920106E-3</v>
      </c>
      <c r="FG37">
        <v>3.6726147880098939E-2</v>
      </c>
      <c r="FH37">
        <v>6.7165935836836404E-3</v>
      </c>
      <c r="FI37">
        <v>1.1856200150998784E-2</v>
      </c>
      <c r="FJ37">
        <v>8.4425128609217776E-2</v>
      </c>
      <c r="FK37">
        <v>1.3157841635561938E-2</v>
      </c>
      <c r="FL37">
        <v>2.173235360760729E-2</v>
      </c>
      <c r="FM37">
        <v>5.3926172360919192E-2</v>
      </c>
      <c r="FN37">
        <v>4.9472975596471867E-2</v>
      </c>
      <c r="FO37">
        <v>1.1158193429526887E-2</v>
      </c>
      <c r="FP37">
        <v>1.1892914160987009E-2</v>
      </c>
      <c r="FQ37">
        <v>1.752404935569583E-2</v>
      </c>
      <c r="FR37">
        <v>5.9886658731101924E-2</v>
      </c>
      <c r="FS37">
        <v>2.4234692238569253E-3</v>
      </c>
      <c r="FT37">
        <v>1.3763976396777447E-2</v>
      </c>
      <c r="FU37">
        <v>3.01252307163106E-2</v>
      </c>
      <c r="FV37">
        <v>1.3943580440499363E-2</v>
      </c>
      <c r="FW37">
        <v>3.172778197628643E-2</v>
      </c>
      <c r="FX37">
        <v>3.7521079764223459E-3</v>
      </c>
      <c r="FY37">
        <v>7.0833476003022691E-3</v>
      </c>
      <c r="FZ37">
        <v>2.5086123373084749E-2</v>
      </c>
      <c r="GA37">
        <v>2.5375639442317154E-2</v>
      </c>
      <c r="GB37">
        <v>2.0393165022725101E-2</v>
      </c>
      <c r="GC37">
        <v>5.0701927345085135E-2</v>
      </c>
      <c r="GD37">
        <v>5.3794195398698799E-2</v>
      </c>
      <c r="GE37">
        <v>8.8049906013516858E-3</v>
      </c>
      <c r="GF37">
        <v>1.0633878936489928E-2</v>
      </c>
      <c r="GG37">
        <v>3.2136176608463345E-2</v>
      </c>
      <c r="GH37">
        <v>4.0587157105612262E-3</v>
      </c>
      <c r="GI37">
        <v>1.415117903334479E-2</v>
      </c>
      <c r="GJ37">
        <v>1.7793862139534017E-2</v>
      </c>
      <c r="GK37">
        <v>5.698912998536481E-2</v>
      </c>
      <c r="GL37">
        <v>2.8249444915498231E-2</v>
      </c>
      <c r="GM37">
        <v>1.1594111500604205E-2</v>
      </c>
      <c r="GN37">
        <v>1.7440823267710726E-2</v>
      </c>
      <c r="GO37">
        <v>4.7544525871033604E-2</v>
      </c>
      <c r="GP37">
        <v>1.3941656594343432E-2</v>
      </c>
      <c r="GQ37">
        <v>1.2970269142359731E-2</v>
      </c>
      <c r="GR37">
        <v>1.5202613676095076E-2</v>
      </c>
      <c r="GS37">
        <v>1.3368732846700581E-2</v>
      </c>
      <c r="GT37">
        <v>5.5917381014707432E-2</v>
      </c>
      <c r="GU37">
        <v>3.2550056204848632E-2</v>
      </c>
      <c r="GV37">
        <v>0.29359845169848103</v>
      </c>
      <c r="GW37">
        <v>2.2719066162989422E-3</v>
      </c>
      <c r="GX37">
        <v>1.7844738420273433E-2</v>
      </c>
      <c r="GY37">
        <v>1.8281597344319313E-2</v>
      </c>
      <c r="GZ37">
        <v>8.3238581802945674E-3</v>
      </c>
      <c r="HA37">
        <v>5.7891804485424667E-3</v>
      </c>
      <c r="HB37">
        <v>0.11733753208768448</v>
      </c>
      <c r="HC37">
        <v>2.4224450144507203E-2</v>
      </c>
      <c r="HD37">
        <v>5.4425110905471034E-3</v>
      </c>
      <c r="HE37">
        <v>1.702313210709357E-2</v>
      </c>
      <c r="HF37">
        <v>1.0337533761669897E-2</v>
      </c>
      <c r="HG37">
        <v>6.0615820005195026E-2</v>
      </c>
      <c r="HH37">
        <v>1.7645719818010289E-2</v>
      </c>
      <c r="HI37">
        <v>0.24887196014616925</v>
      </c>
      <c r="HJ37">
        <v>1.3816330363711035E-2</v>
      </c>
      <c r="HK37">
        <v>4.8648954586034673E-2</v>
      </c>
      <c r="HL37">
        <v>6.087814151263457E-2</v>
      </c>
      <c r="HM37">
        <v>2.8708320553068128E-2</v>
      </c>
      <c r="HN37">
        <v>7.8546936730562247E-2</v>
      </c>
      <c r="HO37">
        <v>5.7173730588494467E-2</v>
      </c>
      <c r="HP37">
        <v>4.6811216055949428E-2</v>
      </c>
      <c r="HQ37">
        <v>3.8922322231192993E-3</v>
      </c>
      <c r="HR37">
        <v>4.4094033855944757E-2</v>
      </c>
      <c r="HS37">
        <v>4.6200283783353155E-2</v>
      </c>
      <c r="HT37">
        <v>1.7083333122848439E-2</v>
      </c>
      <c r="HU37">
        <v>3.4657931622526859E-2</v>
      </c>
      <c r="HV37">
        <v>9.084693322904314E-3</v>
      </c>
      <c r="HW37">
        <v>3.686724836532837E-2</v>
      </c>
      <c r="HX37">
        <v>7.1032991247929975E-3</v>
      </c>
      <c r="HY37">
        <v>2.3553731680129107E-2</v>
      </c>
      <c r="HZ37">
        <v>1.4537568301639065E-2</v>
      </c>
      <c r="IA37">
        <v>3.9573995226619349E-3</v>
      </c>
      <c r="IB37">
        <v>1.8495767394211264E-2</v>
      </c>
      <c r="IC37">
        <v>3.9373692689384501E-3</v>
      </c>
      <c r="ID37">
        <v>1.2137782662174324E-2</v>
      </c>
      <c r="IE37">
        <v>1.4811879129043538E-2</v>
      </c>
      <c r="IF37">
        <v>4.9720003492085316E-2</v>
      </c>
      <c r="IG37">
        <v>9.9618214818579191E-3</v>
      </c>
      <c r="IH37">
        <v>1.513922417395458E-2</v>
      </c>
      <c r="II37">
        <v>5.6340079724573291E-2</v>
      </c>
      <c r="IJ37">
        <v>1.8628798729506364E-2</v>
      </c>
      <c r="IK37">
        <v>0.1468377044862467</v>
      </c>
      <c r="IL37">
        <v>7.0227994638261343E-3</v>
      </c>
      <c r="IM37">
        <v>2.9646641466185192E-2</v>
      </c>
      <c r="IN37">
        <v>1.3171819319867946E-2</v>
      </c>
      <c r="IO37">
        <v>1.0850511065531769E-2</v>
      </c>
    </row>
    <row r="38" spans="5:249" x14ac:dyDescent="0.15">
      <c r="E38">
        <v>3.1639729217752939E-2</v>
      </c>
      <c r="F38">
        <v>1.2844425265166892E-3</v>
      </c>
      <c r="J38" s="17">
        <v>7.2990481014954964E-2</v>
      </c>
      <c r="K38" s="17">
        <v>3.0326569236471805E-2</v>
      </c>
      <c r="L38" s="17">
        <v>6.0797851052664297E-2</v>
      </c>
      <c r="M38" s="17">
        <v>2.2657524153131707E-2</v>
      </c>
      <c r="N38" s="17">
        <v>7.9631336599801691E-2</v>
      </c>
      <c r="O38" s="17">
        <v>1.2537675517218483E-2</v>
      </c>
      <c r="P38" s="17">
        <v>1.1548412804820378E-2</v>
      </c>
      <c r="Q38" s="17">
        <v>4.7004719900918092E-3</v>
      </c>
      <c r="R38" s="17">
        <v>9.6050156625935232E-2</v>
      </c>
      <c r="S38" s="17">
        <v>4.0817736608946692E-2</v>
      </c>
      <c r="T38">
        <v>4.7724107774049559E-3</v>
      </c>
      <c r="U38">
        <v>2.3406723464534693E-2</v>
      </c>
      <c r="V38">
        <v>1.010219798909448E-2</v>
      </c>
      <c r="W38">
        <v>2.2556098214067604E-2</v>
      </c>
      <c r="X38">
        <v>2.1139504447597102E-2</v>
      </c>
      <c r="Y38">
        <v>1.3880172656998375E-2</v>
      </c>
      <c r="Z38">
        <v>5.5313252733656983E-2</v>
      </c>
      <c r="AA38">
        <v>3.2245110195421214E-2</v>
      </c>
      <c r="AB38">
        <v>4.6766836435126408E-3</v>
      </c>
      <c r="AC38">
        <v>2.2265751889830668E-2</v>
      </c>
      <c r="AD38">
        <v>1.0058006331598372E-2</v>
      </c>
      <c r="AE38">
        <v>1.7952777100469886E-2</v>
      </c>
      <c r="AF38">
        <v>2.4705018685869364E-2</v>
      </c>
      <c r="AG38">
        <v>1.2194092994063528E-2</v>
      </c>
      <c r="AH38">
        <v>2.907687281464549E-2</v>
      </c>
      <c r="AI38">
        <v>2.2631137900553301E-2</v>
      </c>
      <c r="AJ38">
        <v>3.9338109886805125E-2</v>
      </c>
      <c r="AK38">
        <v>5.6868062648471579E-2</v>
      </c>
      <c r="AL38">
        <v>6.908370316777214E-2</v>
      </c>
      <c r="AM38">
        <v>5.5203727194534515E-2</v>
      </c>
      <c r="AN38">
        <v>5.6836073625924511E-3</v>
      </c>
      <c r="AO38">
        <v>2.4912241487915293E-2</v>
      </c>
      <c r="AP38">
        <v>2.794276973651845E-2</v>
      </c>
      <c r="AQ38">
        <v>9.4331068290239239E-2</v>
      </c>
      <c r="AR38">
        <v>1.2665190880936057E-2</v>
      </c>
      <c r="AS38">
        <v>6.3627787789018411E-2</v>
      </c>
      <c r="AT38">
        <v>5.1691099132565768E-2</v>
      </c>
      <c r="AU38">
        <v>1.7333247833762524E-2</v>
      </c>
      <c r="AV38">
        <v>5.3598040698880668E-2</v>
      </c>
      <c r="AW38">
        <v>5.8915888263253637E-3</v>
      </c>
      <c r="AX38">
        <v>7.6388314479713879E-3</v>
      </c>
      <c r="AY38">
        <v>5.037799765441546E-2</v>
      </c>
      <c r="AZ38">
        <v>1.5351553138226757E-2</v>
      </c>
      <c r="BA38">
        <v>2.4612788938304986E-2</v>
      </c>
      <c r="BB38">
        <v>2.0163121988987748E-2</v>
      </c>
      <c r="BC38">
        <v>4.8346323322458487E-2</v>
      </c>
      <c r="BD38">
        <v>6.9448821335946875E-2</v>
      </c>
      <c r="BE38">
        <v>3.3475066057605966E-2</v>
      </c>
      <c r="BF38">
        <v>2.5205416453288509E-2</v>
      </c>
      <c r="BG38">
        <v>2.2362444585960411E-2</v>
      </c>
      <c r="BH38">
        <v>1.4547004712959184E-2</v>
      </c>
      <c r="BI38">
        <v>1.8376276446226834E-2</v>
      </c>
      <c r="BJ38">
        <v>3.3202095998927355E-3</v>
      </c>
      <c r="BK38">
        <v>1.5951356527350746E-2</v>
      </c>
      <c r="BL38">
        <v>4.0431353588274425E-2</v>
      </c>
      <c r="BM38">
        <v>6.747786277206895E-2</v>
      </c>
      <c r="BN38">
        <v>6.9162244261665234E-3</v>
      </c>
      <c r="BO38">
        <v>4.6266400983520466E-2</v>
      </c>
      <c r="BP38">
        <v>5.8117411855822636E-3</v>
      </c>
      <c r="BQ38">
        <v>1.7039586338748792E-2</v>
      </c>
      <c r="BR38">
        <v>3.9835006041046506E-2</v>
      </c>
      <c r="BS38">
        <v>4.2876651921623446E-2</v>
      </c>
      <c r="BT38">
        <v>1.6845681455379152E-2</v>
      </c>
      <c r="BU38">
        <v>2.9843121689366182E-2</v>
      </c>
      <c r="BV38">
        <v>2.118636154775869E-2</v>
      </c>
      <c r="BW38">
        <v>3.5708613536905999E-2</v>
      </c>
      <c r="BX38">
        <v>1.6019967890958286E-2</v>
      </c>
      <c r="BY38">
        <v>2.2848146361542378E-3</v>
      </c>
      <c r="BZ38">
        <v>3.1856994608646889E-2</v>
      </c>
      <c r="CA38">
        <v>1.2449965683809613E-2</v>
      </c>
      <c r="CB38">
        <v>3.1415472514043363E-3</v>
      </c>
      <c r="CC38">
        <v>2.6317162355879695E-2</v>
      </c>
      <c r="CD38">
        <v>4.997147348649833E-2</v>
      </c>
      <c r="CE38">
        <v>2.0842647240201979E-2</v>
      </c>
      <c r="CF38">
        <v>6.5342294181368211E-3</v>
      </c>
      <c r="CG38">
        <v>4.6221022994099956E-2</v>
      </c>
      <c r="CH38">
        <v>6.7233070388339644E-2</v>
      </c>
      <c r="CI38">
        <v>6.4066546321772154E-3</v>
      </c>
      <c r="CJ38">
        <v>7.9027083353232098E-3</v>
      </c>
      <c r="CK38">
        <v>2.9860443132133034E-2</v>
      </c>
      <c r="CL38">
        <v>1.6037993624777824E-2</v>
      </c>
      <c r="CM38">
        <v>9.8961948788699322E-3</v>
      </c>
      <c r="CN38">
        <v>0.15001935978903141</v>
      </c>
      <c r="CO38">
        <v>9.4859587067291189E-3</v>
      </c>
      <c r="CP38">
        <v>1.4819553012964124E-2</v>
      </c>
      <c r="CQ38">
        <v>5.614635599740442E-3</v>
      </c>
      <c r="CR38">
        <v>3.3461524007524099E-2</v>
      </c>
      <c r="CS38">
        <v>2.1541188028555515E-2</v>
      </c>
      <c r="CT38">
        <v>3.8099970664512914E-2</v>
      </c>
      <c r="CU38">
        <v>7.544378077005854E-3</v>
      </c>
      <c r="CV38">
        <v>3.8082310843882049E-2</v>
      </c>
      <c r="CW38">
        <v>0.14713523815433993</v>
      </c>
      <c r="CX38">
        <v>1.4195177914844257E-3</v>
      </c>
      <c r="CY38">
        <v>9.5085321330220379E-2</v>
      </c>
      <c r="CZ38">
        <v>1.6189155545917117E-2</v>
      </c>
      <c r="DA38">
        <v>3.6758800623658973E-2</v>
      </c>
      <c r="DB38">
        <v>9.5140650946936925E-3</v>
      </c>
      <c r="DC38">
        <v>1.0305877982221831E-2</v>
      </c>
      <c r="DD38">
        <v>4.9780443315099079E-2</v>
      </c>
      <c r="DE38">
        <v>5.3483030948417672E-2</v>
      </c>
      <c r="DF38">
        <v>1.7015286729765294E-2</v>
      </c>
      <c r="DG38">
        <v>2.2201674289919818E-2</v>
      </c>
      <c r="DH38">
        <v>1.5102302473586085E-2</v>
      </c>
      <c r="DI38">
        <v>1.5232974031813973E-2</v>
      </c>
      <c r="DJ38">
        <v>0.10084166934153484</v>
      </c>
      <c r="DK38">
        <v>3.737477360557559E-2</v>
      </c>
      <c r="DL38">
        <v>6.780261463492674E-3</v>
      </c>
      <c r="DM38">
        <v>3.2078210661177914E-2</v>
      </c>
      <c r="DN38">
        <v>7.0072507161326346E-3</v>
      </c>
      <c r="DO38">
        <v>6.0909870694141451E-2</v>
      </c>
      <c r="DP38">
        <v>3.20239630522587E-2</v>
      </c>
      <c r="DQ38">
        <v>9.5938421223288207E-3</v>
      </c>
      <c r="DR38">
        <v>1.1970416523165514E-2</v>
      </c>
      <c r="DS38">
        <v>6.5565744517540082E-3</v>
      </c>
      <c r="DT38">
        <v>1.4600735387642075E-2</v>
      </c>
      <c r="DU38">
        <v>3.8938963889341605E-3</v>
      </c>
      <c r="DV38">
        <v>7.9291121202432327E-2</v>
      </c>
      <c r="DW38">
        <v>3.471982835807492E-3</v>
      </c>
      <c r="DX38">
        <v>1.7563489744834068E-2</v>
      </c>
      <c r="DY38">
        <v>4.9483606414458522E-2</v>
      </c>
      <c r="DZ38">
        <v>0.1212105458118546</v>
      </c>
      <c r="EA38">
        <v>1.2117191085703329E-2</v>
      </c>
      <c r="EB38">
        <v>7.3169239489793078E-3</v>
      </c>
      <c r="EC38">
        <v>0.12191132306995196</v>
      </c>
      <c r="ED38">
        <v>2.6207349661299087E-3</v>
      </c>
      <c r="EE38">
        <v>0.1489702952383373</v>
      </c>
      <c r="EF38">
        <v>3.1989985197931614E-2</v>
      </c>
      <c r="EG38">
        <v>9.3756786856071615E-3</v>
      </c>
      <c r="EH38">
        <v>1.7395299348291808E-2</v>
      </c>
      <c r="EI38">
        <v>4.9772041076234771E-2</v>
      </c>
      <c r="EJ38">
        <v>1.7525992851999021E-2</v>
      </c>
      <c r="EK38">
        <v>2.4604684701201772E-2</v>
      </c>
      <c r="EL38">
        <v>6.0201859235156224E-3</v>
      </c>
      <c r="EM38">
        <v>3.9941136246167477E-3</v>
      </c>
      <c r="EN38">
        <v>2.8422039507718408E-3</v>
      </c>
      <c r="EO38">
        <v>3.8704137755961092E-2</v>
      </c>
      <c r="EP38">
        <v>2.2075079490805297E-2</v>
      </c>
      <c r="EQ38">
        <v>1.1938600860036327E-2</v>
      </c>
      <c r="ER38">
        <v>2.271009067413552E-2</v>
      </c>
      <c r="ES38">
        <v>2.1669333624179603E-2</v>
      </c>
      <c r="ET38">
        <v>4.546698031167401E-2</v>
      </c>
      <c r="EU38">
        <v>4.6757548131914437E-3</v>
      </c>
      <c r="EV38">
        <v>9.741663881656773E-3</v>
      </c>
      <c r="EW38">
        <v>4.1159012080957368E-2</v>
      </c>
      <c r="EX38">
        <v>2.5942071928199095E-2</v>
      </c>
      <c r="EY38">
        <v>8.0944401601746527E-3</v>
      </c>
      <c r="EZ38">
        <v>4.9548114158296429E-2</v>
      </c>
      <c r="FA38">
        <v>1.1366363919954475E-2</v>
      </c>
      <c r="FB38">
        <v>3.2671972218491366E-3</v>
      </c>
      <c r="FC38">
        <v>1.3559960310439934E-2</v>
      </c>
      <c r="FD38">
        <v>3.2617864379185887E-2</v>
      </c>
      <c r="FE38">
        <v>3.114576861314769E-2</v>
      </c>
      <c r="FF38">
        <v>5.1284821508294429E-3</v>
      </c>
      <c r="FG38">
        <v>3.537093425009917E-2</v>
      </c>
      <c r="FH38">
        <v>7.2866665080090365E-3</v>
      </c>
      <c r="FI38">
        <v>1.0175483180415027E-2</v>
      </c>
      <c r="FJ38">
        <v>0.11107073050317211</v>
      </c>
      <c r="FK38">
        <v>1.3607601957464381E-2</v>
      </c>
      <c r="FL38">
        <v>2.0047922591628221E-2</v>
      </c>
      <c r="FM38">
        <v>4.9427322485706519E-2</v>
      </c>
      <c r="FN38">
        <v>4.7909737155498872E-2</v>
      </c>
      <c r="FO38">
        <v>1.2915061341698533E-2</v>
      </c>
      <c r="FP38">
        <v>1.1780021536149182E-2</v>
      </c>
      <c r="FQ38">
        <v>1.7153604236775904E-2</v>
      </c>
      <c r="FR38">
        <v>5.841166424068945E-2</v>
      </c>
      <c r="FS38">
        <v>2.1502839369119467E-3</v>
      </c>
      <c r="FT38">
        <v>1.2709929903894192E-2</v>
      </c>
      <c r="FU38">
        <v>2.9634154717492103E-2</v>
      </c>
      <c r="FV38">
        <v>1.3447175758792364E-2</v>
      </c>
      <c r="FW38">
        <v>2.8159203234565788E-2</v>
      </c>
      <c r="FX38">
        <v>3.7905438358778361E-3</v>
      </c>
      <c r="FY38">
        <v>7.2954441427739523E-3</v>
      </c>
      <c r="FZ38">
        <v>2.3966379368194041E-2</v>
      </c>
      <c r="GA38">
        <v>2.4078064938066607E-2</v>
      </c>
      <c r="GB38">
        <v>2.3422160774059602E-2</v>
      </c>
      <c r="GC38">
        <v>4.1906113280689647E-2</v>
      </c>
      <c r="GD38">
        <v>5.8159064835794513E-2</v>
      </c>
      <c r="GE38">
        <v>8.518806641606565E-3</v>
      </c>
      <c r="GF38">
        <v>9.8310462091128203E-3</v>
      </c>
      <c r="GG38">
        <v>3.0522999546183316E-2</v>
      </c>
      <c r="GH38">
        <v>4.3947209323414709E-3</v>
      </c>
      <c r="GI38">
        <v>1.4126776390304461E-2</v>
      </c>
      <c r="GJ38">
        <v>1.81631989056894E-2</v>
      </c>
      <c r="GK38">
        <v>5.2991456234061853E-2</v>
      </c>
      <c r="GL38">
        <v>3.024413921654065E-2</v>
      </c>
      <c r="GM38">
        <v>1.2503458672954083E-2</v>
      </c>
      <c r="GN38">
        <v>1.9024719358524476E-2</v>
      </c>
      <c r="GO38">
        <v>5.1712050188048406E-2</v>
      </c>
      <c r="GP38">
        <v>1.3986207701047939E-2</v>
      </c>
      <c r="GQ38">
        <v>1.3497830629109472E-2</v>
      </c>
      <c r="GR38">
        <v>1.5373365703601125E-2</v>
      </c>
      <c r="GS38">
        <v>1.3393949180715112E-2</v>
      </c>
      <c r="GT38">
        <v>6.5849354217602699E-2</v>
      </c>
      <c r="GU38">
        <v>3.5192826012973841E-2</v>
      </c>
      <c r="GV38">
        <v>0.32182792071115462</v>
      </c>
      <c r="GW38">
        <v>2.5106692322473655E-3</v>
      </c>
      <c r="GX38">
        <v>1.5385181677085186E-2</v>
      </c>
      <c r="GY38">
        <v>2.0871520471388644E-2</v>
      </c>
      <c r="GZ38">
        <v>1.1074736605518663E-2</v>
      </c>
      <c r="HA38">
        <v>5.2880841357274911E-3</v>
      </c>
      <c r="HB38">
        <v>0.10138393425273734</v>
      </c>
      <c r="HC38">
        <v>2.3364887615304551E-2</v>
      </c>
      <c r="HD38">
        <v>5.8770116756799041E-3</v>
      </c>
      <c r="HE38">
        <v>1.7310796837585653E-2</v>
      </c>
      <c r="HF38">
        <v>1.169656522647128E-2</v>
      </c>
      <c r="HG38">
        <v>5.844390566766313E-2</v>
      </c>
      <c r="HH38">
        <v>1.7809832576889978E-2</v>
      </c>
      <c r="HI38">
        <v>0.21915503587751531</v>
      </c>
      <c r="HJ38">
        <v>1.7080748171383792E-2</v>
      </c>
      <c r="HK38">
        <v>4.1077042852226339E-2</v>
      </c>
      <c r="HL38">
        <v>6.3316218588271508E-2</v>
      </c>
      <c r="HM38">
        <v>2.8157652206433428E-2</v>
      </c>
      <c r="HN38">
        <v>8.1420375437227507E-2</v>
      </c>
      <c r="HO38">
        <v>6.187761623157869E-2</v>
      </c>
      <c r="HP38">
        <v>4.4861659439838497E-2</v>
      </c>
      <c r="HQ38">
        <v>4.1896685902136927E-3</v>
      </c>
      <c r="HR38">
        <v>4.3063923115061103E-2</v>
      </c>
      <c r="HS38">
        <v>4.677404496434022E-2</v>
      </c>
      <c r="HT38">
        <v>1.8809638229578516E-2</v>
      </c>
      <c r="HU38">
        <v>3.2891410434554028E-2</v>
      </c>
      <c r="HV38">
        <v>8.6010970553571497E-3</v>
      </c>
      <c r="HW38">
        <v>3.5269470626092272E-2</v>
      </c>
      <c r="HX38">
        <v>7.5749263576597812E-3</v>
      </c>
      <c r="HY38">
        <v>2.4414178992348524E-2</v>
      </c>
      <c r="HZ38">
        <v>1.5631078398730586E-2</v>
      </c>
      <c r="IA38">
        <v>3.7133360435810539E-3</v>
      </c>
      <c r="IB38">
        <v>2.1851533992340504E-2</v>
      </c>
      <c r="IC38">
        <v>4.8442906234094415E-3</v>
      </c>
      <c r="ID38">
        <v>1.0634249085609384E-2</v>
      </c>
      <c r="IE38">
        <v>1.3663466999614762E-2</v>
      </c>
      <c r="IF38">
        <v>4.5034998518277386E-2</v>
      </c>
      <c r="IG38">
        <v>1.0438868261949874E-2</v>
      </c>
      <c r="IH38">
        <v>1.844325746739631E-2</v>
      </c>
      <c r="II38">
        <v>6.6384440901847197E-2</v>
      </c>
      <c r="IJ38">
        <v>1.9179984525530804E-2</v>
      </c>
      <c r="IK38">
        <v>0.15104766195197888</v>
      </c>
      <c r="IL38">
        <v>7.136518049356581E-3</v>
      </c>
      <c r="IM38">
        <v>2.9543906092890298E-2</v>
      </c>
      <c r="IN38">
        <v>1.1973739186238704E-2</v>
      </c>
      <c r="IO38">
        <v>1.2022425756286682E-2</v>
      </c>
    </row>
    <row r="39" spans="5:249" x14ac:dyDescent="0.15">
      <c r="E39">
        <v>-2.6922650970945771E-2</v>
      </c>
      <c r="F39">
        <v>2.3880187039569054E-3</v>
      </c>
      <c r="J39" s="17">
        <v>-0.20600590045214906</v>
      </c>
      <c r="K39" s="17">
        <v>-3.2646032692226656E-2</v>
      </c>
      <c r="L39" s="17">
        <v>-4.725462589227325E-2</v>
      </c>
      <c r="M39" s="17">
        <v>-9.8817222302000518E-2</v>
      </c>
      <c r="N39" s="17">
        <v>-5.6026576994036015E-2</v>
      </c>
      <c r="O39" s="17">
        <v>-7.533018698009375E-3</v>
      </c>
      <c r="P39" s="17">
        <v>-1.7421933218793262E-2</v>
      </c>
      <c r="Q39" s="17">
        <v>-1.1906758195707745E-2</v>
      </c>
      <c r="R39" s="17">
        <v>-1.2267070307653727E-2</v>
      </c>
      <c r="S39" s="17">
        <v>-1.8573852029400317E-2</v>
      </c>
      <c r="T39">
        <v>-6.2677373632082922E-3</v>
      </c>
      <c r="U39">
        <v>9.2946468246424274E-6</v>
      </c>
      <c r="V39">
        <v>-9.1432269817754985E-3</v>
      </c>
      <c r="W39">
        <v>-1.7892144796414211E-3</v>
      </c>
      <c r="X39">
        <v>-8.4900572586166234E-3</v>
      </c>
      <c r="Y39">
        <v>-1.7818259577181417E-2</v>
      </c>
      <c r="Z39">
        <v>1.3895782386872391E-2</v>
      </c>
      <c r="AA39">
        <v>3.1018211707301013E-3</v>
      </c>
      <c r="AB39">
        <v>-1.1343313746970063E-2</v>
      </c>
      <c r="AC39">
        <v>1.1574072816990189E-2</v>
      </c>
      <c r="AD39">
        <v>-1.2311807483324388E-2</v>
      </c>
      <c r="AE39">
        <v>-4.951801310579973E-2</v>
      </c>
      <c r="AF39">
        <v>-2.4599478416165166E-2</v>
      </c>
      <c r="AG39">
        <v>1.6060372963981884E-3</v>
      </c>
      <c r="AH39">
        <v>-2.3082529142224084E-2</v>
      </c>
      <c r="AI39">
        <v>-8.4039298795945294E-2</v>
      </c>
      <c r="AJ39">
        <v>-7.2323521682739811E-2</v>
      </c>
      <c r="AK39">
        <v>-0.15229608814837703</v>
      </c>
      <c r="AL39">
        <v>-2.2885556010086017E-3</v>
      </c>
      <c r="AM39">
        <v>1.2871905071191403E-2</v>
      </c>
      <c r="AN39">
        <v>-8.9343924147906595E-3</v>
      </c>
      <c r="AO39">
        <v>-7.4564973091273412E-3</v>
      </c>
      <c r="AP39">
        <v>7.6409355309170479E-3</v>
      </c>
      <c r="AQ39">
        <v>-8.8282046407409887E-2</v>
      </c>
      <c r="AR39">
        <v>-2.2717501670715512E-2</v>
      </c>
      <c r="AS39">
        <v>-0.12660446020692584</v>
      </c>
      <c r="AT39">
        <v>2.0333909261155192E-2</v>
      </c>
      <c r="AU39">
        <v>-8.9129454409331288E-3</v>
      </c>
      <c r="AV39">
        <v>-5.8812862389797216E-2</v>
      </c>
      <c r="AW39">
        <v>-1.4120867121065306E-2</v>
      </c>
      <c r="AX39">
        <v>-3.9392862907206005E-3</v>
      </c>
      <c r="AY39">
        <v>-7.1613009404822181E-2</v>
      </c>
      <c r="AZ39">
        <v>-1.2891370344380038E-2</v>
      </c>
      <c r="BA39">
        <v>4.7047451858239775E-3</v>
      </c>
      <c r="BB39">
        <v>-1.3891204158208437E-2</v>
      </c>
      <c r="BC39">
        <v>-1.9969621728197717E-2</v>
      </c>
      <c r="BD39">
        <v>5.5414909399282841E-3</v>
      </c>
      <c r="BE39">
        <v>-8.1969533066085898E-2</v>
      </c>
      <c r="BF39">
        <v>-2.6014654739046739E-2</v>
      </c>
      <c r="BG39">
        <v>-0.14433772658153332</v>
      </c>
      <c r="BH39">
        <v>5.2507970428554707E-3</v>
      </c>
      <c r="BI39">
        <v>-1.6789196038688114E-2</v>
      </c>
      <c r="BJ39">
        <v>-6.7873400947069396E-3</v>
      </c>
      <c r="BK39">
        <v>9.0696288228198085E-4</v>
      </c>
      <c r="BL39">
        <v>-1.3045732259318932E-2</v>
      </c>
      <c r="BM39">
        <v>-7.3085268945994875E-2</v>
      </c>
      <c r="BN39">
        <v>-1.2051942094010615E-2</v>
      </c>
      <c r="BO39">
        <v>-4.4785624736910501E-2</v>
      </c>
      <c r="BP39">
        <v>-3.5152099465769471E-3</v>
      </c>
      <c r="BQ39">
        <v>-1.6124753984182449E-2</v>
      </c>
      <c r="BR39">
        <v>-5.3264229072110592E-2</v>
      </c>
      <c r="BS39">
        <v>1.1141065977025022E-3</v>
      </c>
      <c r="BT39">
        <v>-9.302675105195668E-3</v>
      </c>
      <c r="BU39">
        <v>1.9618034967542108E-2</v>
      </c>
      <c r="BV39">
        <v>-2.2312808371775184E-2</v>
      </c>
      <c r="BW39">
        <v>3.4067922803822093E-3</v>
      </c>
      <c r="BX39">
        <v>-2.5522424372892427E-3</v>
      </c>
      <c r="BY39">
        <v>-7.4983136793862482E-3</v>
      </c>
      <c r="BZ39">
        <v>-0.24636485672029718</v>
      </c>
      <c r="CA39">
        <v>-3.4882472566077016E-2</v>
      </c>
      <c r="CB39">
        <v>1.472945524376712E-4</v>
      </c>
      <c r="CC39">
        <v>-1.4404199856070887E-2</v>
      </c>
      <c r="CD39">
        <v>-1.6893761037578781E-2</v>
      </c>
      <c r="CE39">
        <v>-4.842559908845967E-3</v>
      </c>
      <c r="CF39">
        <v>-1.1327390740871079E-2</v>
      </c>
      <c r="CG39">
        <v>-9.5039226035719793E-2</v>
      </c>
      <c r="CH39">
        <v>-2.9515751251782296E-2</v>
      </c>
      <c r="CI39">
        <v>-1.9117545943815317E-2</v>
      </c>
      <c r="CJ39">
        <v>-4.6592297488943224E-3</v>
      </c>
      <c r="CK39">
        <v>-5.5447293457921987E-4</v>
      </c>
      <c r="CL39">
        <v>-2.1270936999151058E-2</v>
      </c>
      <c r="CM39">
        <v>4.034298840626338E-3</v>
      </c>
      <c r="CN39">
        <v>-0.19152616243419618</v>
      </c>
      <c r="CO39">
        <v>-7.7943395835029516E-3</v>
      </c>
      <c r="CP39">
        <v>-1.6875503520877189E-2</v>
      </c>
      <c r="CQ39">
        <v>-9.0932964683276829E-3</v>
      </c>
      <c r="CR39">
        <v>1.6954074616060133E-3</v>
      </c>
      <c r="CS39">
        <v>-5.5309397927119086E-3</v>
      </c>
      <c r="CT39">
        <v>-3.1267157679371271E-2</v>
      </c>
      <c r="CU39">
        <v>-2.4534513549743453E-2</v>
      </c>
      <c r="CV39">
        <v>-5.9929283498596053E-2</v>
      </c>
      <c r="CW39">
        <v>6.1604759458413483E-3</v>
      </c>
      <c r="CX39">
        <v>-2.1302354107834987E-3</v>
      </c>
      <c r="CY39">
        <v>-0.1781274682529006</v>
      </c>
      <c r="CZ39">
        <v>-1.0893287250770989E-2</v>
      </c>
      <c r="DA39">
        <v>-4.8846926550040415E-2</v>
      </c>
      <c r="DB39">
        <v>1.5342633632244862E-3</v>
      </c>
      <c r="DC39">
        <v>-1.5269824436370261E-3</v>
      </c>
      <c r="DD39">
        <v>2.0619279835707438E-2</v>
      </c>
      <c r="DE39">
        <v>-4.5890182762484022E-2</v>
      </c>
      <c r="DF39">
        <v>-1.0475493473597774E-2</v>
      </c>
      <c r="DG39">
        <v>-1.3819285490458633E-2</v>
      </c>
      <c r="DH39">
        <v>-2.8326283331619795E-2</v>
      </c>
      <c r="DI39">
        <v>-2.6343624954965339E-3</v>
      </c>
      <c r="DJ39">
        <v>-5.4724507086809426E-2</v>
      </c>
      <c r="DK39">
        <v>-1.3185600957158261E-2</v>
      </c>
      <c r="DL39">
        <v>-1.1191189846649685E-2</v>
      </c>
      <c r="DM39">
        <v>-2.732477892688534E-2</v>
      </c>
      <c r="DN39">
        <v>-1.6839125296994828E-2</v>
      </c>
      <c r="DO39">
        <v>-0.29224177593310263</v>
      </c>
      <c r="DP39">
        <v>-1.810132889942917E-3</v>
      </c>
      <c r="DQ39">
        <v>-2.2948099866862304E-2</v>
      </c>
      <c r="DR39">
        <v>1.7325644988308575E-3</v>
      </c>
      <c r="DS39">
        <v>-1.636716344715361E-2</v>
      </c>
      <c r="DT39">
        <v>-2.3743635854858836E-2</v>
      </c>
      <c r="DU39">
        <v>1.9460695475537193E-5</v>
      </c>
      <c r="DV39">
        <v>-1.145250756097882E-2</v>
      </c>
      <c r="DW39">
        <v>-4.7683291351316992E-3</v>
      </c>
      <c r="DX39">
        <v>9.5908254182930364E-4</v>
      </c>
      <c r="DY39">
        <v>-7.2456486435398926E-2</v>
      </c>
      <c r="DZ39">
        <v>-4.6730948193023591E-2</v>
      </c>
      <c r="EA39">
        <v>-9.1981476754003921E-3</v>
      </c>
      <c r="EB39">
        <v>-3.4454944060180459E-4</v>
      </c>
      <c r="EC39">
        <v>-0.17191294732492501</v>
      </c>
      <c r="ED39">
        <v>6.91356130694043E-4</v>
      </c>
      <c r="EE39">
        <v>-5.7966224313221293E-2</v>
      </c>
      <c r="EF39">
        <v>-1.4178732471939348E-2</v>
      </c>
      <c r="EG39">
        <v>-7.1210076112253606E-3</v>
      </c>
      <c r="EH39">
        <v>-7.9217925538941358E-3</v>
      </c>
      <c r="EI39">
        <v>-3.7164731809511409E-3</v>
      </c>
      <c r="EJ39">
        <v>9.7638416724015187E-3</v>
      </c>
      <c r="EK39">
        <v>-5.4464734413912641E-2</v>
      </c>
      <c r="EL39">
        <v>2.3818164843603107E-3</v>
      </c>
      <c r="EM39">
        <v>1.7561557479219836E-3</v>
      </c>
      <c r="EN39">
        <v>-1.9543730266740056E-3</v>
      </c>
      <c r="EO39">
        <v>-3.139321115709981E-2</v>
      </c>
      <c r="EP39">
        <v>-2.0017005686139289E-3</v>
      </c>
      <c r="EQ39">
        <v>-3.3210012091535734E-3</v>
      </c>
      <c r="ER39">
        <v>-5.2074389115756459E-2</v>
      </c>
      <c r="ES39">
        <v>-8.1646358956026788E-3</v>
      </c>
      <c r="ET39">
        <v>-0.14046917943037229</v>
      </c>
      <c r="EU39">
        <v>2.3855528329868037E-3</v>
      </c>
      <c r="EV39">
        <v>-5.2854403361246582E-3</v>
      </c>
      <c r="EW39">
        <v>-4.1112171703487466E-2</v>
      </c>
      <c r="EX39">
        <v>5.6167540588343279E-3</v>
      </c>
      <c r="EY39">
        <v>-7.2463586909803368E-3</v>
      </c>
      <c r="EZ39">
        <v>-2.2727156244044533E-3</v>
      </c>
      <c r="FA39">
        <v>-3.6107717253197613E-3</v>
      </c>
      <c r="FB39">
        <v>-7.2510748764658128E-3</v>
      </c>
      <c r="FC39">
        <v>-3.0129760818978335E-2</v>
      </c>
      <c r="FD39">
        <v>-4.1443739161146187E-2</v>
      </c>
      <c r="FE39">
        <v>-1.6748848302409636E-2</v>
      </c>
      <c r="FF39">
        <v>-1.4712717121492247E-3</v>
      </c>
      <c r="FG39">
        <v>-1.6068363476896552E-2</v>
      </c>
      <c r="FH39">
        <v>-5.4900094733856264E-4</v>
      </c>
      <c r="FI39">
        <v>-6.4963529890558203E-3</v>
      </c>
      <c r="FJ39">
        <v>4.9170099097345155E-2</v>
      </c>
      <c r="FK39">
        <v>2.6890684204139426E-3</v>
      </c>
      <c r="FL39">
        <v>-1.0832993637598154E-2</v>
      </c>
      <c r="FM39">
        <v>-0.1540412909385811</v>
      </c>
      <c r="FN39">
        <v>-3.4168416512848188E-2</v>
      </c>
      <c r="FO39">
        <v>4.5692246051967089E-3</v>
      </c>
      <c r="FP39">
        <v>-8.0301472998012269E-3</v>
      </c>
      <c r="FQ39">
        <v>-2.0688476865524663E-3</v>
      </c>
      <c r="FR39">
        <v>-9.7141081126773221E-2</v>
      </c>
      <c r="FS39">
        <v>-3.9403648389526591E-3</v>
      </c>
      <c r="FT39">
        <v>-6.8177392171107076E-3</v>
      </c>
      <c r="FU39">
        <v>-4.4326174920283457E-2</v>
      </c>
      <c r="FV39">
        <v>-2.744517887168918E-2</v>
      </c>
      <c r="FW39">
        <v>-4.4507035295485498E-2</v>
      </c>
      <c r="FX39">
        <v>4.1166421396088282E-4</v>
      </c>
      <c r="FY39">
        <v>2.1362069575960874E-3</v>
      </c>
      <c r="FZ39">
        <v>-2.6045269676150173E-2</v>
      </c>
      <c r="GA39">
        <v>-2.1611477313566274E-2</v>
      </c>
      <c r="GB39">
        <v>1.3367816108366348E-2</v>
      </c>
      <c r="GC39">
        <v>-6.244842880668755E-2</v>
      </c>
      <c r="GD39">
        <v>1.4457785172128368E-4</v>
      </c>
      <c r="GE39">
        <v>-1.0701640203331531E-2</v>
      </c>
      <c r="GF39">
        <v>-1.7338574531649886E-2</v>
      </c>
      <c r="GG39">
        <v>-3.4078350283686998E-2</v>
      </c>
      <c r="GH39">
        <v>-1.8616153266446389E-3</v>
      </c>
      <c r="GI39">
        <v>-1.8007389377243666E-3</v>
      </c>
      <c r="GJ39">
        <v>-8.671433658575145E-3</v>
      </c>
      <c r="GK39">
        <v>-2.202155687909535E-2</v>
      </c>
      <c r="GL39">
        <v>-1.6496219598827189E-4</v>
      </c>
      <c r="GM39">
        <v>3.640861197240941E-3</v>
      </c>
      <c r="GN39">
        <v>4.6021956961124211E-3</v>
      </c>
      <c r="GO39">
        <v>-1.2580239367473878E-2</v>
      </c>
      <c r="GP39">
        <v>-2.3033545806880884E-3</v>
      </c>
      <c r="GQ39">
        <v>-6.079401296278375E-3</v>
      </c>
      <c r="GR39">
        <v>-2.346312387036642E-3</v>
      </c>
      <c r="GS39">
        <v>-2.4127517464687109E-3</v>
      </c>
      <c r="GT39">
        <v>-2.256683602844145E-3</v>
      </c>
      <c r="GU39">
        <v>-1.332120343963128E-3</v>
      </c>
      <c r="GV39">
        <v>-0.27767288849638705</v>
      </c>
      <c r="GW39">
        <v>7.7904737847545036E-4</v>
      </c>
      <c r="GX39">
        <v>-0.17055250053174209</v>
      </c>
      <c r="GY39">
        <v>1.1634173679115012E-2</v>
      </c>
      <c r="GZ39">
        <v>7.2581836026945901E-3</v>
      </c>
      <c r="HA39">
        <v>-1.3805016566746042E-2</v>
      </c>
      <c r="HB39">
        <v>-7.0435652005823135E-2</v>
      </c>
      <c r="HC39">
        <v>-2.8009927812235436E-2</v>
      </c>
      <c r="HD39">
        <v>-8.1710235400307418E-3</v>
      </c>
      <c r="HE39">
        <v>-7.1447769188399679E-3</v>
      </c>
      <c r="HF39">
        <v>2.0984475163676741E-3</v>
      </c>
      <c r="HG39">
        <v>-2.2418410375930176E-2</v>
      </c>
      <c r="HH39">
        <v>-5.6136670116660348E-2</v>
      </c>
      <c r="HI39">
        <v>-0.22792240332286262</v>
      </c>
      <c r="HJ39">
        <v>2.4017436373782175E-3</v>
      </c>
      <c r="HK39">
        <v>-6.2272584914248919E-2</v>
      </c>
      <c r="HL39">
        <v>-1.3748446595636121E-3</v>
      </c>
      <c r="HM39">
        <v>-1.2717270356469745E-2</v>
      </c>
      <c r="HN39">
        <v>-6.2441460332655963E-2</v>
      </c>
      <c r="HO39">
        <v>-2.9799305522142383E-2</v>
      </c>
      <c r="HP39">
        <v>-6.6086110903824435E-2</v>
      </c>
      <c r="HQ39">
        <v>-3.1090255970789293E-4</v>
      </c>
      <c r="HR39">
        <v>-0.10227550341189251</v>
      </c>
      <c r="HS39">
        <v>-5.9945672470962608E-2</v>
      </c>
      <c r="HT39">
        <v>-1.7562902648803114E-2</v>
      </c>
      <c r="HU39">
        <v>-1.0881848401996352E-2</v>
      </c>
      <c r="HV39">
        <v>-2.9404182233552234E-3</v>
      </c>
      <c r="HW39">
        <v>2.4951005008633231E-4</v>
      </c>
      <c r="HX39">
        <v>-4.9319760483792496E-3</v>
      </c>
      <c r="HY39">
        <v>3.1046845775501986E-3</v>
      </c>
      <c r="HZ39">
        <v>1.8958977903964502E-3</v>
      </c>
      <c r="IA39">
        <v>-1.1345200048244575E-2</v>
      </c>
      <c r="IB39">
        <v>-2.7256248106652947E-3</v>
      </c>
      <c r="IC39">
        <v>3.4324272170094261E-4</v>
      </c>
      <c r="ID39">
        <v>-2.2344331263425055E-2</v>
      </c>
      <c r="IE39">
        <v>-1.8169384862890325E-2</v>
      </c>
      <c r="IF39">
        <v>-6.4608179215907668E-2</v>
      </c>
      <c r="IG39">
        <v>-3.1715575812789609E-3</v>
      </c>
      <c r="IH39">
        <v>6.2752099038165809E-3</v>
      </c>
      <c r="II39">
        <v>-4.3374599087377952E-3</v>
      </c>
      <c r="IJ39">
        <v>-9.7181702945150494E-3</v>
      </c>
      <c r="IK39">
        <v>-7.9094304135438609E-3</v>
      </c>
      <c r="IL39">
        <v>-4.8218096075283379E-2</v>
      </c>
      <c r="IM39">
        <v>-4.432252890021493E-2</v>
      </c>
      <c r="IN39">
        <v>-3.0464062780555246E-3</v>
      </c>
      <c r="IO39">
        <v>9.3300802763929269E-4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7:T54"/>
  <sheetViews>
    <sheetView workbookViewId="0">
      <selection activeCell="U4" sqref="U4"/>
    </sheetView>
  </sheetViews>
  <sheetFormatPr defaultRowHeight="13.5" x14ac:dyDescent="0.15"/>
  <cols>
    <col min="9" max="9" width="12.75" bestFit="1" customWidth="1"/>
  </cols>
  <sheetData>
    <row r="7" spans="3:10" x14ac:dyDescent="0.15">
      <c r="C7" s="18"/>
      <c r="D7" s="18"/>
      <c r="E7" s="19" t="s">
        <v>69</v>
      </c>
      <c r="F7" s="18"/>
      <c r="G7" s="18"/>
      <c r="H7" s="18"/>
      <c r="I7" s="18"/>
      <c r="J7" s="18"/>
    </row>
    <row r="9" spans="3:10" x14ac:dyDescent="0.15">
      <c r="C9" s="18"/>
      <c r="D9" s="18"/>
      <c r="E9" s="27" t="s">
        <v>80</v>
      </c>
      <c r="F9" s="18"/>
      <c r="G9" s="18"/>
      <c r="H9" s="18"/>
      <c r="I9" s="18"/>
      <c r="J9" s="18"/>
    </row>
    <row r="10" spans="3:10" x14ac:dyDescent="0.15">
      <c r="C10" s="18"/>
      <c r="D10" s="18"/>
      <c r="E10" s="1">
        <v>0</v>
      </c>
      <c r="F10" s="1">
        <v>1</v>
      </c>
      <c r="G10" s="1">
        <v>2</v>
      </c>
      <c r="H10" s="1">
        <v>3</v>
      </c>
      <c r="I10" s="13">
        <v>4</v>
      </c>
      <c r="J10" s="1">
        <v>5</v>
      </c>
    </row>
    <row r="12" spans="3:10" x14ac:dyDescent="0.15">
      <c r="C12" s="28" t="s">
        <v>70</v>
      </c>
      <c r="D12" s="1">
        <v>0</v>
      </c>
      <c r="E12" s="15">
        <v>9.1311617331571188E-3</v>
      </c>
      <c r="F12" s="15">
        <v>1.0673355525506505E-2</v>
      </c>
      <c r="G12" s="15">
        <v>9.4555609932566332E-3</v>
      </c>
      <c r="H12" s="15">
        <v>9.8838854728083309E-3</v>
      </c>
      <c r="I12" s="15">
        <v>8.8979976862786046E-3</v>
      </c>
      <c r="J12" s="15">
        <v>9.815612567779082E-3</v>
      </c>
    </row>
    <row r="13" spans="3:10" x14ac:dyDescent="0.15">
      <c r="C13" s="18"/>
      <c r="D13" s="1">
        <v>1</v>
      </c>
      <c r="E13" s="15">
        <v>9.6410172819063784E-3</v>
      </c>
      <c r="F13" s="15">
        <v>1.1050042995712765E-2</v>
      </c>
      <c r="G13" s="15">
        <v>1.3409255028896776E-2</v>
      </c>
      <c r="H13" s="15">
        <v>1.2969489909786551E-2</v>
      </c>
      <c r="I13" s="15">
        <v>1.2162005048110837E-2</v>
      </c>
      <c r="J13" s="15">
        <v>1.1894648540862649E-2</v>
      </c>
    </row>
    <row r="14" spans="3:10" x14ac:dyDescent="0.15">
      <c r="C14" s="18"/>
      <c r="D14" s="1">
        <v>2</v>
      </c>
      <c r="E14" s="15">
        <v>9.9676261167462848E-3</v>
      </c>
      <c r="F14" s="15">
        <v>1.1633011496070041E-2</v>
      </c>
      <c r="G14" s="15">
        <v>1.1528341987980672E-2</v>
      </c>
      <c r="H14" s="15">
        <v>1.4058370371309062E-2</v>
      </c>
      <c r="I14" s="15">
        <v>1.4286028616072569E-2</v>
      </c>
      <c r="J14" s="15">
        <v>1.4697701964584291E-2</v>
      </c>
    </row>
    <row r="15" spans="3:10" x14ac:dyDescent="0.15">
      <c r="C15" s="18"/>
      <c r="D15" s="1">
        <v>3</v>
      </c>
      <c r="E15" s="15">
        <v>1.120489269639159E-2</v>
      </c>
      <c r="F15" s="15">
        <v>1.177203967779653E-2</v>
      </c>
      <c r="G15" s="15">
        <v>1.1482115894975144E-2</v>
      </c>
      <c r="H15" s="15">
        <v>1.1240496920084371E-2</v>
      </c>
      <c r="I15" s="15">
        <v>1.164433675020894E-2</v>
      </c>
      <c r="J15" s="15">
        <v>1.1356883676548073E-2</v>
      </c>
    </row>
    <row r="16" spans="3:10" x14ac:dyDescent="0.15">
      <c r="C16" s="18"/>
      <c r="D16" s="1">
        <v>4</v>
      </c>
      <c r="E16" s="15">
        <v>1.0847202854013624E-2</v>
      </c>
      <c r="F16" s="15">
        <v>1.0124226192917439E-2</v>
      </c>
      <c r="G16" s="15">
        <v>9.2694678857086887E-3</v>
      </c>
      <c r="H16" s="15">
        <v>8.9672206139136696E-3</v>
      </c>
      <c r="I16" s="15">
        <v>8.7982274273358998E-3</v>
      </c>
      <c r="J16" s="15">
        <v>8.4518756134039225E-3</v>
      </c>
    </row>
    <row r="17" spans="4:10" x14ac:dyDescent="0.15">
      <c r="D17" s="1">
        <v>5</v>
      </c>
      <c r="E17" s="15">
        <v>1.0129207399891111E-2</v>
      </c>
      <c r="F17" s="15">
        <v>9.2850369275962845E-3</v>
      </c>
      <c r="G17" s="15">
        <v>1.0023704488492132E-2</v>
      </c>
      <c r="H17" s="15">
        <v>8.8615468031161496E-3</v>
      </c>
      <c r="I17" s="15">
        <v>1.1074976071231469E-2</v>
      </c>
      <c r="J17" s="15">
        <v>9.1812967833273963E-3</v>
      </c>
    </row>
    <row r="20" spans="4:10" x14ac:dyDescent="0.15">
      <c r="D20" s="18"/>
      <c r="E20" s="18"/>
      <c r="F20" s="18"/>
      <c r="G20" s="18"/>
      <c r="H20" s="18"/>
      <c r="I20" s="1" t="s">
        <v>71</v>
      </c>
      <c r="J20" s="1">
        <v>0.01</v>
      </c>
    </row>
    <row r="21" spans="4:10" x14ac:dyDescent="0.15">
      <c r="D21" s="1" t="s">
        <v>81</v>
      </c>
      <c r="E21" s="18"/>
      <c r="F21" s="18"/>
      <c r="G21" s="18"/>
      <c r="H21" s="18"/>
      <c r="I21" s="18"/>
      <c r="J21" s="18"/>
    </row>
    <row r="23" spans="4:10" x14ac:dyDescent="0.15">
      <c r="D23" s="1">
        <v>0</v>
      </c>
      <c r="E23" s="12">
        <f t="shared" ref="E23:J23" si="0">MAX(E12-$J$20,0)</f>
        <v>0</v>
      </c>
      <c r="F23" s="12">
        <f t="shared" si="0"/>
        <v>6.7335552550650511E-4</v>
      </c>
      <c r="G23" s="12">
        <f t="shared" si="0"/>
        <v>0</v>
      </c>
      <c r="H23" s="12">
        <f t="shared" si="0"/>
        <v>0</v>
      </c>
      <c r="I23" s="12">
        <f t="shared" si="0"/>
        <v>0</v>
      </c>
      <c r="J23" s="12">
        <f t="shared" si="0"/>
        <v>0</v>
      </c>
    </row>
    <row r="24" spans="4:10" x14ac:dyDescent="0.15">
      <c r="D24" s="1">
        <v>1</v>
      </c>
      <c r="E24" s="12">
        <f t="shared" ref="E24:J28" si="1">MAX(E13-$J$20,0)</f>
        <v>0</v>
      </c>
      <c r="F24" s="12">
        <f t="shared" si="1"/>
        <v>1.050042995712765E-3</v>
      </c>
      <c r="G24" s="12">
        <f t="shared" si="1"/>
        <v>3.4092550288967755E-3</v>
      </c>
      <c r="H24" s="12">
        <f t="shared" si="1"/>
        <v>2.9694899097865504E-3</v>
      </c>
      <c r="I24" s="12">
        <f t="shared" si="1"/>
        <v>2.1620050481108363E-3</v>
      </c>
      <c r="J24" s="12">
        <f t="shared" si="1"/>
        <v>1.8946485408626486E-3</v>
      </c>
    </row>
    <row r="25" spans="4:10" x14ac:dyDescent="0.15">
      <c r="D25" s="1">
        <v>2</v>
      </c>
      <c r="E25" s="12">
        <f t="shared" si="1"/>
        <v>0</v>
      </c>
      <c r="F25" s="12">
        <f t="shared" si="1"/>
        <v>1.6330114960700411E-3</v>
      </c>
      <c r="G25" s="12">
        <f t="shared" si="1"/>
        <v>1.528341987980672E-3</v>
      </c>
      <c r="H25" s="12">
        <f t="shared" si="1"/>
        <v>4.058370371309062E-3</v>
      </c>
      <c r="I25" s="12">
        <f>MAX(I14-$J$20,0)</f>
        <v>4.2860286160725687E-3</v>
      </c>
      <c r="J25" s="12">
        <f t="shared" si="1"/>
        <v>4.6977019645842912E-3</v>
      </c>
    </row>
    <row r="26" spans="4:10" x14ac:dyDescent="0.15">
      <c r="D26" s="1">
        <v>3</v>
      </c>
      <c r="E26" s="12">
        <f t="shared" si="1"/>
        <v>1.2048926963915893E-3</v>
      </c>
      <c r="F26" s="12">
        <f t="shared" si="1"/>
        <v>1.7720396777965303E-3</v>
      </c>
      <c r="G26" s="12">
        <f t="shared" si="1"/>
        <v>1.4821158949751435E-3</v>
      </c>
      <c r="H26" s="12">
        <f t="shared" si="1"/>
        <v>1.2404969200843705E-3</v>
      </c>
      <c r="I26" s="12">
        <f t="shared" si="1"/>
        <v>1.6443367502089398E-3</v>
      </c>
      <c r="J26" s="12">
        <f t="shared" si="1"/>
        <v>1.3568836765480725E-3</v>
      </c>
    </row>
    <row r="27" spans="4:10" x14ac:dyDescent="0.15">
      <c r="D27" s="1">
        <v>4</v>
      </c>
      <c r="E27" s="12">
        <f t="shared" si="1"/>
        <v>8.4720285401362373E-4</v>
      </c>
      <c r="F27" s="12">
        <f t="shared" si="1"/>
        <v>1.2422619291743882E-4</v>
      </c>
      <c r="G27" s="12">
        <f t="shared" si="1"/>
        <v>0</v>
      </c>
      <c r="H27" s="12">
        <f t="shared" si="1"/>
        <v>0</v>
      </c>
      <c r="I27" s="12">
        <f t="shared" si="1"/>
        <v>0</v>
      </c>
      <c r="J27" s="12">
        <f t="shared" si="1"/>
        <v>0</v>
      </c>
    </row>
    <row r="28" spans="4:10" x14ac:dyDescent="0.15">
      <c r="D28" s="1">
        <v>5</v>
      </c>
      <c r="E28" s="12">
        <f t="shared" si="1"/>
        <v>1.2920739989111078E-4</v>
      </c>
      <c r="F28" s="12">
        <f t="shared" si="1"/>
        <v>0</v>
      </c>
      <c r="G28" s="12">
        <f t="shared" si="1"/>
        <v>2.3704488492131554E-5</v>
      </c>
      <c r="H28" s="12">
        <f t="shared" si="1"/>
        <v>0</v>
      </c>
      <c r="I28" s="12">
        <f t="shared" si="1"/>
        <v>1.0749760712314687E-3</v>
      </c>
      <c r="J28" s="12">
        <f t="shared" si="1"/>
        <v>0</v>
      </c>
    </row>
    <row r="31" spans="4:10" x14ac:dyDescent="0.15">
      <c r="D31" s="18"/>
      <c r="E31" s="18"/>
      <c r="F31" s="18"/>
      <c r="G31" s="18"/>
      <c r="H31" s="18"/>
      <c r="I31" s="19" t="s">
        <v>73</v>
      </c>
      <c r="J31" s="19" t="s">
        <v>74</v>
      </c>
    </row>
    <row r="32" spans="4:10" x14ac:dyDescent="0.15">
      <c r="D32" s="18"/>
      <c r="E32" s="18"/>
      <c r="F32" s="18"/>
      <c r="G32" s="18"/>
      <c r="H32" s="18"/>
      <c r="I32" s="18" t="s">
        <v>11</v>
      </c>
      <c r="J32" s="18" t="s">
        <v>12</v>
      </c>
    </row>
    <row r="33" spans="7:20" x14ac:dyDescent="0.15">
      <c r="G33" s="18"/>
      <c r="H33" s="18"/>
      <c r="I33" s="20">
        <f t="array" ref="I33:J33">LINEST(J35:J38,I35:I38)</f>
        <v>1.3987144433124046</v>
      </c>
      <c r="J33" s="20">
        <v>-1.2183164385740569E-3</v>
      </c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7:20" ht="27" x14ac:dyDescent="0.15">
      <c r="G34" s="18"/>
      <c r="H34" s="18"/>
      <c r="I34" s="16" t="s">
        <v>75</v>
      </c>
      <c r="J34" s="16" t="s">
        <v>76</v>
      </c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7:20" x14ac:dyDescent="0.15">
      <c r="G35" s="18"/>
      <c r="H35" s="18"/>
      <c r="I35" s="12">
        <v>2.1620050481108363E-3</v>
      </c>
      <c r="J35" s="12">
        <v>1.8946485408626486E-3</v>
      </c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7:20" x14ac:dyDescent="0.15">
      <c r="G36" s="18"/>
      <c r="H36" s="18"/>
      <c r="I36" s="12">
        <v>4.2860286160725687E-3</v>
      </c>
      <c r="J36" s="12">
        <v>4.6977019645842912E-3</v>
      </c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7:20" x14ac:dyDescent="0.15">
      <c r="G37" s="18"/>
      <c r="H37" s="18"/>
      <c r="I37" s="12">
        <v>1.6443367502089398E-3</v>
      </c>
      <c r="J37" s="12">
        <v>1.3568836765480725E-3</v>
      </c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7:20" x14ac:dyDescent="0.15">
      <c r="G38" s="18"/>
      <c r="H38" s="18"/>
      <c r="I38" s="12">
        <v>1.0749760712314687E-3</v>
      </c>
      <c r="J38" s="12">
        <v>0</v>
      </c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41" spans="7:20" x14ac:dyDescent="0.15">
      <c r="G41" s="18"/>
      <c r="H41" s="18"/>
      <c r="I41" s="5" t="s">
        <v>79</v>
      </c>
      <c r="J41" s="18"/>
      <c r="K41" s="21"/>
      <c r="L41" s="21">
        <v>1E-4</v>
      </c>
      <c r="M41" s="21">
        <f>$J$33+$I$33*L41</f>
        <v>-1.0784449942428166E-3</v>
      </c>
      <c r="N41" s="21"/>
      <c r="O41" s="21"/>
      <c r="P41" s="21"/>
      <c r="Q41" s="21"/>
      <c r="R41" s="21"/>
      <c r="S41" s="21"/>
      <c r="T41" s="21"/>
    </row>
    <row r="42" spans="7:20" x14ac:dyDescent="0.15">
      <c r="G42" s="13" t="s">
        <v>77</v>
      </c>
      <c r="H42" s="18" t="s">
        <v>72</v>
      </c>
      <c r="I42" s="21"/>
      <c r="J42" s="21"/>
      <c r="K42" s="21"/>
      <c r="L42" s="21">
        <v>1E-3</v>
      </c>
      <c r="M42" s="21">
        <f t="shared" ref="M42:M47" si="2">$J$33+$I$33*L42</f>
        <v>1.8039800473834775E-4</v>
      </c>
      <c r="N42" s="21"/>
      <c r="O42" s="21"/>
      <c r="P42" s="21"/>
      <c r="Q42" s="21"/>
      <c r="R42" s="21"/>
      <c r="S42" s="21"/>
      <c r="T42" s="21"/>
    </row>
    <row r="43" spans="7:20" x14ac:dyDescent="0.15">
      <c r="G43" s="4">
        <f>IF(H43,I35,J35)</f>
        <v>2.1620050481108363E-3</v>
      </c>
      <c r="H43" s="22" t="b">
        <f>IF(I35&gt;I43,TRUE,FALSE)</f>
        <v>1</v>
      </c>
      <c r="I43" s="23">
        <f>$J$33+$I$33*I35</f>
        <v>1.8057112487328999E-3</v>
      </c>
      <c r="J43" s="24" t="s">
        <v>78</v>
      </c>
      <c r="K43" s="21"/>
      <c r="L43" s="21">
        <v>2E-3</v>
      </c>
      <c r="M43" s="21">
        <f t="shared" si="2"/>
        <v>1.5791124480507525E-3</v>
      </c>
      <c r="N43" s="21"/>
      <c r="O43" s="21"/>
      <c r="P43" s="21"/>
      <c r="Q43" s="21"/>
      <c r="R43" s="21"/>
      <c r="S43" s="21"/>
      <c r="T43" s="21"/>
    </row>
    <row r="44" spans="7:20" x14ac:dyDescent="0.15">
      <c r="G44" s="4">
        <f>IF(H44,I36,J36)</f>
        <v>4.6977019645842912E-3</v>
      </c>
      <c r="H44" s="22" t="b">
        <f>IF(I36&gt;I44,TRUE,FALSE)</f>
        <v>0</v>
      </c>
      <c r="I44" s="23">
        <f>$J$33+$I$33*I36</f>
        <v>4.776613691176922E-3</v>
      </c>
      <c r="J44" s="25"/>
      <c r="K44" s="21"/>
      <c r="L44" s="21">
        <v>3.0000000000000001E-3</v>
      </c>
      <c r="M44" s="21">
        <f t="shared" si="2"/>
        <v>2.9778268913631572E-3</v>
      </c>
      <c r="N44" s="21"/>
      <c r="O44" s="21"/>
      <c r="P44" s="21"/>
      <c r="Q44" s="21"/>
      <c r="R44" s="21"/>
      <c r="S44" s="21"/>
      <c r="T44" s="21"/>
    </row>
    <row r="45" spans="7:20" x14ac:dyDescent="0.15">
      <c r="G45" s="4">
        <f>IF(H45,I37,J37)</f>
        <v>1.6443367502089398E-3</v>
      </c>
      <c r="H45" s="22" t="b">
        <f>IF(I37&gt;I45,TRUE,FALSE)</f>
        <v>1</v>
      </c>
      <c r="I45" s="23">
        <f>$J$33+$I$33*I37</f>
        <v>1.0816411236125689E-3</v>
      </c>
      <c r="J45" s="25"/>
      <c r="K45" s="21"/>
      <c r="L45" s="21">
        <v>4.0000000000000001E-3</v>
      </c>
      <c r="M45" s="21">
        <f t="shared" si="2"/>
        <v>4.3765413346755619E-3</v>
      </c>
      <c r="N45" s="21"/>
      <c r="O45" s="21"/>
      <c r="P45" s="21"/>
      <c r="Q45" s="21"/>
      <c r="R45" s="21"/>
      <c r="S45" s="21"/>
      <c r="T45" s="21"/>
    </row>
    <row r="46" spans="7:20" x14ac:dyDescent="0.15">
      <c r="G46" s="4">
        <f>IF(H46,I38,J38)</f>
        <v>1.0749760712314687E-3</v>
      </c>
      <c r="H46" s="22" t="b">
        <f>IF(I38&gt;I46,TRUE,FALSE)</f>
        <v>1</v>
      </c>
      <c r="I46" s="23">
        <f>$J$33+$I$33*I38</f>
        <v>2.8526811847262253E-4</v>
      </c>
      <c r="J46" s="25"/>
      <c r="K46" s="21"/>
      <c r="L46" s="21">
        <v>5.0000000000000001E-3</v>
      </c>
      <c r="M46" s="21">
        <f t="shared" si="2"/>
        <v>5.7752557779879657E-3</v>
      </c>
      <c r="N46" s="21"/>
      <c r="O46" s="21"/>
      <c r="P46" s="21"/>
      <c r="Q46" s="21"/>
      <c r="R46" s="21"/>
      <c r="S46" s="21"/>
      <c r="T46" s="21"/>
    </row>
    <row r="47" spans="7:20" x14ac:dyDescent="0.15">
      <c r="G47" s="18"/>
      <c r="H47" s="18"/>
      <c r="I47" s="24"/>
      <c r="J47" s="25"/>
      <c r="K47" s="21"/>
      <c r="L47" s="21">
        <v>6.0000000000000001E-3</v>
      </c>
      <c r="M47" s="21">
        <f t="shared" si="2"/>
        <v>7.1739702213003713E-3</v>
      </c>
      <c r="N47" s="21"/>
      <c r="O47" s="21"/>
      <c r="P47" s="21"/>
      <c r="Q47" s="21"/>
      <c r="R47" s="21"/>
      <c r="S47" s="21"/>
      <c r="T47" s="21"/>
    </row>
    <row r="48" spans="7:20" x14ac:dyDescent="0.15">
      <c r="G48" s="18"/>
      <c r="H48" s="18"/>
      <c r="I48" s="24"/>
      <c r="J48" s="25"/>
      <c r="K48" s="21"/>
      <c r="L48" s="21"/>
      <c r="M48" s="21"/>
      <c r="N48" s="21"/>
      <c r="O48" s="21"/>
      <c r="P48" s="21"/>
      <c r="Q48" s="21"/>
      <c r="R48" s="21"/>
      <c r="S48" s="21"/>
      <c r="T48" s="21"/>
    </row>
    <row r="49" spans="9:20" x14ac:dyDescent="0.15">
      <c r="I49" s="2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</row>
    <row r="50" spans="9:20" x14ac:dyDescent="0.15"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</row>
    <row r="51" spans="9:20" x14ac:dyDescent="0.15">
      <c r="I51" s="26"/>
      <c r="J51" s="26"/>
      <c r="K51" s="26"/>
      <c r="L51" s="26"/>
      <c r="M51" s="26"/>
      <c r="N51" s="26"/>
      <c r="O51" s="21"/>
      <c r="P51" s="21"/>
      <c r="Q51" s="21"/>
      <c r="R51" s="21"/>
      <c r="S51" s="21"/>
      <c r="T51" s="21"/>
    </row>
    <row r="52" spans="9:20" x14ac:dyDescent="0.15">
      <c r="I52" s="25"/>
      <c r="J52" s="25"/>
      <c r="K52" s="25"/>
      <c r="L52" s="25"/>
      <c r="M52" s="25"/>
      <c r="N52" s="25"/>
      <c r="O52" s="21"/>
      <c r="P52" s="21"/>
      <c r="Q52" s="21"/>
      <c r="R52" s="21"/>
      <c r="S52" s="21"/>
      <c r="T52" s="21"/>
    </row>
    <row r="53" spans="9:20" x14ac:dyDescent="0.15">
      <c r="I53" s="25"/>
      <c r="J53" s="25"/>
      <c r="K53" s="25"/>
      <c r="L53" s="25"/>
      <c r="M53" s="25"/>
      <c r="N53" s="25"/>
      <c r="O53" s="21"/>
      <c r="P53" s="21"/>
      <c r="Q53" s="21"/>
      <c r="R53" s="21"/>
      <c r="S53" s="21"/>
      <c r="T53" s="21"/>
    </row>
    <row r="54" spans="9:20" x14ac:dyDescent="0.15">
      <c r="I54" s="25"/>
      <c r="J54" s="25"/>
      <c r="K54" s="25"/>
      <c r="L54" s="25"/>
      <c r="M54" s="25"/>
      <c r="N54" s="25"/>
      <c r="O54" s="21"/>
      <c r="P54" s="21"/>
      <c r="Q54" s="21"/>
      <c r="R54" s="21"/>
      <c r="S54" s="21"/>
      <c r="T54" s="2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Black</vt:lpstr>
      <vt:lpstr>SABR</vt:lpstr>
      <vt:lpstr>RebonatoVols</vt:lpstr>
      <vt:lpstr>LMMSimulation</vt:lpstr>
      <vt:lpstr>Results</vt:lpstr>
      <vt:lpstr>LSM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apreciotoyosu</dc:creator>
  <cp:lastModifiedBy>Maxwell</cp:lastModifiedBy>
  <dcterms:created xsi:type="dcterms:W3CDTF">2014-06-28T00:48:14Z</dcterms:created>
  <dcterms:modified xsi:type="dcterms:W3CDTF">2016-10-23T00:54:03Z</dcterms:modified>
</cp:coreProperties>
</file>