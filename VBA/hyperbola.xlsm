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xwell\Desktop\VBA\"/>
    </mc:Choice>
  </mc:AlternateContent>
  <bookViews>
    <workbookView xWindow="0" yWindow="0" windowWidth="28800" windowHeight="14835"/>
  </bookViews>
  <sheets>
    <sheet name="hyperbola" sheetId="9" r:id="rId1"/>
  </sheets>
  <definedNames>
    <definedName name="directrix">hyperbola!$C$4</definedName>
    <definedName name="ecc">hyperbola!$F$3</definedName>
    <definedName name="focus">hyperbola!$C$7</definedName>
    <definedName name="focus_d">hyperbola!$C$6</definedName>
    <definedName name="focus2">hyperbola!$C$8</definedName>
    <definedName name="solver_adj" localSheetId="0" hidden="1">hyperbola!$G$67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hyperbola!$G$67</definedName>
    <definedName name="solver_lhs2" localSheetId="0" hidden="1">hyperbola!$E$7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hyperbola!$H$67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1</definedName>
    <definedName name="solver_rhs2" localSheetId="0" hidden="1">directrix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9</definedName>
    <definedName name="solver_ver" localSheetId="0" hidden="1">3</definedName>
    <definedName name="x1_">hyperbola!$E$7:$E$67</definedName>
    <definedName name="x1_eq">hyperbola!$F$7:$F$67</definedName>
    <definedName name="x2_">hyperbola!$G$7:$G$67</definedName>
    <definedName name="x2_eq">hyperbola!$H$7:$H$67</definedName>
    <definedName name="y_2">hyperbola!$J$7:$J$67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9" l="1"/>
  <c r="H67" i="9"/>
  <c r="H66" i="9"/>
  <c r="H65" i="9"/>
  <c r="H64" i="9"/>
  <c r="H63" i="9"/>
  <c r="H62" i="9"/>
  <c r="H61" i="9"/>
  <c r="H60" i="9"/>
  <c r="H59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</calcChain>
</file>

<file path=xl/connections.xml><?xml version="1.0" encoding="utf-8"?>
<connections xmlns="http://schemas.openxmlformats.org/spreadsheetml/2006/main">
  <connection id="1" name="接続2" type="4" refreshedVersion="0" background="1">
    <webPr url="https://www.stat-search.boj.or.jp/ssi/html/nme_R020MM.18006.20151101030040.01.html" htmlTables="1" htmlFormat="all"/>
  </connection>
  <connection id="2" name="接続3" type="4" refreshedVersion="0" background="1">
    <webPr url="https://www.stat-search.boj.or.jp/ssi/html/nme_R020MM.18006.20151101030040.01.html" htmlTables="1" htmlFormat="all"/>
  </connection>
  <connection id="3" name="接続4" type="4" refreshedVersion="0" background="1">
    <webPr url="https://www.stat-search.boj.or.jp/ssi/html/nme_R020MM.18006.20151101030040.01.html" htmlTables="1" htmlFormat="all"/>
  </connection>
</connections>
</file>

<file path=xl/sharedStrings.xml><?xml version="1.0" encoding="utf-8"?>
<sst xmlns="http://schemas.openxmlformats.org/spreadsheetml/2006/main" count="12" uniqueCount="10">
  <si>
    <t>directrix</t>
    <phoneticPr fontId="1"/>
  </si>
  <si>
    <t>x=</t>
    <phoneticPr fontId="1"/>
  </si>
  <si>
    <t>focus</t>
    <phoneticPr fontId="1"/>
  </si>
  <si>
    <t>y</t>
    <phoneticPr fontId="1"/>
  </si>
  <si>
    <t>eccentricity</t>
    <phoneticPr fontId="1"/>
  </si>
  <si>
    <t>x1</t>
    <phoneticPr fontId="1"/>
  </si>
  <si>
    <t>x2</t>
    <phoneticPr fontId="1"/>
  </si>
  <si>
    <t>y^2</t>
    <phoneticPr fontId="1"/>
  </si>
  <si>
    <t>x1_eq</t>
    <phoneticPr fontId="1"/>
  </si>
  <si>
    <t>x2_eq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</si>
</sst>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hyperbola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7.5791870918521298E-2"/>
          <c:y val="0.10397553516819572"/>
          <c:w val="0.84976127441770433"/>
          <c:h val="0.815886729755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hyperbola!$E$6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0" cap="rnd">
                <a:noFill/>
                <a:round/>
              </a:ln>
              <a:effectLst/>
            </c:spPr>
          </c:marker>
          <c:xVal>
            <c:numRef>
              <c:f>hyperbola!$E$7:$E$67</c:f>
              <c:numCache>
                <c:formatCode>General</c:formatCode>
                <c:ptCount val="61"/>
                <c:pt idx="0">
                  <c:v>-0.37082878778460487</c:v>
                </c:pt>
                <c:pt idx="1">
                  <c:v>-0.3309833485947094</c:v>
                </c:pt>
                <c:pt idx="2">
                  <c:v>-0.29164738603604001</c:v>
                </c:pt>
                <c:pt idx="3">
                  <c:v>-0.2528549083719081</c:v>
                </c:pt>
                <c:pt idx="4">
                  <c:v>-0.21464289894997779</c:v>
                </c:pt>
                <c:pt idx="5">
                  <c:v>-0.17705121523273706</c:v>
                </c:pt>
                <c:pt idx="6">
                  <c:v>-0.1401220279003289</c:v>
                </c:pt>
                <c:pt idx="7">
                  <c:v>-0.10390176861816826</c:v>
                </c:pt>
                <c:pt idx="8">
                  <c:v>-6.843903230241391E-2</c:v>
                </c:pt>
                <c:pt idx="9">
                  <c:v>-3.3786472989451879E-2</c:v>
                </c:pt>
                <c:pt idx="10">
                  <c:v>1.7745516832768684E-8</c:v>
                </c:pt>
                <c:pt idx="11">
                  <c:v>3.2859949297763744E-2</c:v>
                </c:pt>
                <c:pt idx="12">
                  <c:v>6.4730006424607092E-2</c:v>
                </c:pt>
                <c:pt idx="13">
                  <c:v>9.5542854086420465E-2</c:v>
                </c:pt>
                <c:pt idx="14">
                  <c:v>0.12522734412139669</c:v>
                </c:pt>
                <c:pt idx="15">
                  <c:v>0.15370882903513913</c:v>
                </c:pt>
                <c:pt idx="16">
                  <c:v>0.1809094180095599</c:v>
                </c:pt>
                <c:pt idx="17">
                  <c:v>0.20674833666835926</c:v>
                </c:pt>
                <c:pt idx="18">
                  <c:v>0.23114224221173504</c:v>
                </c:pt>
                <c:pt idx="19">
                  <c:v>0.25400641451730044</c:v>
                </c:pt>
                <c:pt idx="20">
                  <c:v>0.27525511977248257</c:v>
                </c:pt>
                <c:pt idx="21">
                  <c:v>0.29480290855976571</c:v>
                </c:pt>
                <c:pt idx="22">
                  <c:v>0.31256579206111512</c:v>
                </c:pt>
                <c:pt idx="23">
                  <c:v>0.32846254962060145</c:v>
                </c:pt>
                <c:pt idx="24">
                  <c:v>0.34241631099498437</c:v>
                </c:pt>
                <c:pt idx="25">
                  <c:v>0.35435604754423483</c:v>
                </c:pt>
                <c:pt idx="26">
                  <c:v>0.36421829796783556</c:v>
                </c:pt>
                <c:pt idx="27">
                  <c:v>0.37194854621403423</c:v>
                </c:pt>
                <c:pt idx="28">
                  <c:v>0.37750274459521049</c:v>
                </c:pt>
                <c:pt idx="29">
                  <c:v>0.38084849452536434</c:v>
                </c:pt>
                <c:pt idx="30">
                  <c:v>0.38196596942897121</c:v>
                </c:pt>
                <c:pt idx="31">
                  <c:v>0.38084849452536451</c:v>
                </c:pt>
                <c:pt idx="32">
                  <c:v>0.37750274459521044</c:v>
                </c:pt>
                <c:pt idx="33">
                  <c:v>0.37194854621403417</c:v>
                </c:pt>
                <c:pt idx="34">
                  <c:v>0.3642182979678355</c:v>
                </c:pt>
                <c:pt idx="35">
                  <c:v>0.35435604754423483</c:v>
                </c:pt>
                <c:pt idx="36">
                  <c:v>0.34241631099498426</c:v>
                </c:pt>
                <c:pt idx="37">
                  <c:v>0.32846254962060145</c:v>
                </c:pt>
                <c:pt idx="38">
                  <c:v>0.31256579206111507</c:v>
                </c:pt>
                <c:pt idx="39">
                  <c:v>0.29480290855976587</c:v>
                </c:pt>
                <c:pt idx="40">
                  <c:v>0.27525511977248257</c:v>
                </c:pt>
                <c:pt idx="41">
                  <c:v>0.25400641451730055</c:v>
                </c:pt>
                <c:pt idx="42">
                  <c:v>0.23114224221173504</c:v>
                </c:pt>
                <c:pt idx="43">
                  <c:v>0.20674833666835921</c:v>
                </c:pt>
                <c:pt idx="44">
                  <c:v>0.1809094180095599</c:v>
                </c:pt>
                <c:pt idx="45">
                  <c:v>0.15370882903513913</c:v>
                </c:pt>
                <c:pt idx="46">
                  <c:v>0.12522734412139655</c:v>
                </c:pt>
                <c:pt idx="47">
                  <c:v>9.5542854086420465E-2</c:v>
                </c:pt>
                <c:pt idx="48">
                  <c:v>6.4730006424607023E-2</c:v>
                </c:pt>
                <c:pt idx="49">
                  <c:v>3.2859949297763744E-2</c:v>
                </c:pt>
                <c:pt idx="50">
                  <c:v>1.7745516832768684E-8</c:v>
                </c:pt>
                <c:pt idx="51">
                  <c:v>-3.3786472989451879E-2</c:v>
                </c:pt>
                <c:pt idx="52">
                  <c:v>-6.843903230241391E-2</c:v>
                </c:pt>
                <c:pt idx="53">
                  <c:v>-0.10390176861816826</c:v>
                </c:pt>
                <c:pt idx="54">
                  <c:v>-0.1401220279003289</c:v>
                </c:pt>
                <c:pt idx="55">
                  <c:v>-0.17705121523273706</c:v>
                </c:pt>
                <c:pt idx="56">
                  <c:v>-0.21464289894997779</c:v>
                </c:pt>
                <c:pt idx="57">
                  <c:v>-0.2528549083719081</c:v>
                </c:pt>
                <c:pt idx="58">
                  <c:v>-0.29164738603604001</c:v>
                </c:pt>
                <c:pt idx="59">
                  <c:v>-0.3309833485947094</c:v>
                </c:pt>
                <c:pt idx="60">
                  <c:v>-0.37082878778460487</c:v>
                </c:pt>
              </c:numCache>
            </c:numRef>
          </c:xVal>
          <c:yVal>
            <c:numRef>
              <c:f>hyperbola!$I$7:$I$67</c:f>
              <c:numCache>
                <c:formatCode>General</c:formatCode>
                <c:ptCount val="61"/>
                <c:pt idx="0">
                  <c:v>3</c:v>
                </c:pt>
                <c:pt idx="1">
                  <c:v>2.9</c:v>
                </c:pt>
                <c:pt idx="2">
                  <c:v>2.8</c:v>
                </c:pt>
                <c:pt idx="3">
                  <c:v>2.7</c:v>
                </c:pt>
                <c:pt idx="4">
                  <c:v>2.6</c:v>
                </c:pt>
                <c:pt idx="5">
                  <c:v>2.5</c:v>
                </c:pt>
                <c:pt idx="6">
                  <c:v>2.4</c:v>
                </c:pt>
                <c:pt idx="7">
                  <c:v>2.2999999999999998</c:v>
                </c:pt>
                <c:pt idx="8">
                  <c:v>2.2000000000000002</c:v>
                </c:pt>
                <c:pt idx="9">
                  <c:v>2.1</c:v>
                </c:pt>
                <c:pt idx="10">
                  <c:v>2</c:v>
                </c:pt>
                <c:pt idx="11">
                  <c:v>1.9</c:v>
                </c:pt>
                <c:pt idx="12">
                  <c:v>1.7999999999999998</c:v>
                </c:pt>
                <c:pt idx="13">
                  <c:v>1.7</c:v>
                </c:pt>
                <c:pt idx="14">
                  <c:v>1.5999999999999999</c:v>
                </c:pt>
                <c:pt idx="15">
                  <c:v>1.5</c:v>
                </c:pt>
                <c:pt idx="16">
                  <c:v>1.4</c:v>
                </c:pt>
                <c:pt idx="17">
                  <c:v>1.2999999999999998</c:v>
                </c:pt>
                <c:pt idx="18">
                  <c:v>1.2</c:v>
                </c:pt>
                <c:pt idx="19">
                  <c:v>1.0999999999999999</c:v>
                </c:pt>
                <c:pt idx="20">
                  <c:v>1</c:v>
                </c:pt>
                <c:pt idx="21">
                  <c:v>0.89999999999999991</c:v>
                </c:pt>
                <c:pt idx="22">
                  <c:v>0.79999999999999982</c:v>
                </c:pt>
                <c:pt idx="23">
                  <c:v>0.69999999999999973</c:v>
                </c:pt>
                <c:pt idx="24">
                  <c:v>0.59999999999999964</c:v>
                </c:pt>
                <c:pt idx="25">
                  <c:v>0.5</c:v>
                </c:pt>
                <c:pt idx="26">
                  <c:v>0.39999999999999991</c:v>
                </c:pt>
                <c:pt idx="27">
                  <c:v>0.29999999999999982</c:v>
                </c:pt>
                <c:pt idx="28">
                  <c:v>0.19999999999999973</c:v>
                </c:pt>
                <c:pt idx="29">
                  <c:v>9.9999999999999645E-2</c:v>
                </c:pt>
                <c:pt idx="30">
                  <c:v>0</c:v>
                </c:pt>
                <c:pt idx="31">
                  <c:v>-0.1</c:v>
                </c:pt>
                <c:pt idx="32">
                  <c:v>-0.2</c:v>
                </c:pt>
                <c:pt idx="33">
                  <c:v>-0.30000000000000004</c:v>
                </c:pt>
                <c:pt idx="34">
                  <c:v>-0.4</c:v>
                </c:pt>
                <c:pt idx="35">
                  <c:v>-0.5</c:v>
                </c:pt>
                <c:pt idx="36">
                  <c:v>-0.60000000000000009</c:v>
                </c:pt>
                <c:pt idx="37">
                  <c:v>-0.70000000000000007</c:v>
                </c:pt>
                <c:pt idx="38">
                  <c:v>-0.8</c:v>
                </c:pt>
                <c:pt idx="39">
                  <c:v>-0.9</c:v>
                </c:pt>
                <c:pt idx="40">
                  <c:v>-1</c:v>
                </c:pt>
                <c:pt idx="41">
                  <c:v>-1.1000000000000001</c:v>
                </c:pt>
                <c:pt idx="42">
                  <c:v>-1.2</c:v>
                </c:pt>
                <c:pt idx="43">
                  <c:v>-1.3</c:v>
                </c:pt>
                <c:pt idx="44">
                  <c:v>-1.4</c:v>
                </c:pt>
                <c:pt idx="45">
                  <c:v>-1.5</c:v>
                </c:pt>
                <c:pt idx="46">
                  <c:v>-1.6</c:v>
                </c:pt>
                <c:pt idx="47">
                  <c:v>-1.7</c:v>
                </c:pt>
                <c:pt idx="48">
                  <c:v>-1.8</c:v>
                </c:pt>
                <c:pt idx="49">
                  <c:v>-1.9</c:v>
                </c:pt>
                <c:pt idx="50">
                  <c:v>-2</c:v>
                </c:pt>
                <c:pt idx="51">
                  <c:v>-2.1</c:v>
                </c:pt>
                <c:pt idx="52">
                  <c:v>-2.2000000000000002</c:v>
                </c:pt>
                <c:pt idx="53">
                  <c:v>-2.2999999999999998</c:v>
                </c:pt>
                <c:pt idx="54">
                  <c:v>-2.4</c:v>
                </c:pt>
                <c:pt idx="55">
                  <c:v>-2.5</c:v>
                </c:pt>
                <c:pt idx="56">
                  <c:v>-2.6</c:v>
                </c:pt>
                <c:pt idx="57">
                  <c:v>-2.7</c:v>
                </c:pt>
                <c:pt idx="58">
                  <c:v>-2.8</c:v>
                </c:pt>
                <c:pt idx="59">
                  <c:v>-2.9</c:v>
                </c:pt>
                <c:pt idx="60">
                  <c:v>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hyperbola!$G$6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hyperbola!$G$7:$G$67</c:f>
              <c:numCache>
                <c:formatCode>General</c:formatCode>
                <c:ptCount val="61"/>
                <c:pt idx="0">
                  <c:v>2.3708286694656611</c:v>
                </c:pt>
                <c:pt idx="1">
                  <c:v>2.3309833094599011</c:v>
                </c:pt>
                <c:pt idx="2">
                  <c:v>2.291647242244331</c:v>
                </c:pt>
                <c:pt idx="3">
                  <c:v>2.2528547550916196</c:v>
                </c:pt>
                <c:pt idx="4">
                  <c:v>2.2146427422133428</c:v>
                </c:pt>
                <c:pt idx="5">
                  <c:v>2.1770508823383183</c:v>
                </c:pt>
                <c:pt idx="6">
                  <c:v>2.1401218175368446</c:v>
                </c:pt>
                <c:pt idx="7">
                  <c:v>2.1039013295676035</c:v>
                </c:pt>
                <c:pt idx="8">
                  <c:v>2.0684385089295003</c:v>
                </c:pt>
                <c:pt idx="9">
                  <c:v>2.0337859103928557</c:v>
                </c:pt>
                <c:pt idx="10">
                  <c:v>2.0000000066796191</c:v>
                </c:pt>
                <c:pt idx="11">
                  <c:v>1.9671400839387221</c:v>
                </c:pt>
                <c:pt idx="12">
                  <c:v>1.9352700209532641</c:v>
                </c:pt>
                <c:pt idx="13">
                  <c:v>1.9044572053343325</c:v>
                </c:pt>
                <c:pt idx="14">
                  <c:v>1.8747727272888945</c:v>
                </c:pt>
                <c:pt idx="15">
                  <c:v>1.8462912253001402</c:v>
                </c:pt>
                <c:pt idx="16">
                  <c:v>1.8190906247933014</c:v>
                </c:pt>
                <c:pt idx="17">
                  <c:v>1.7932517507450194</c:v>
                </c:pt>
                <c:pt idx="18">
                  <c:v>1.7688577958776568</c:v>
                </c:pt>
                <c:pt idx="19">
                  <c:v>1.7459936284014641</c:v>
                </c:pt>
                <c:pt idx="20">
                  <c:v>1.7247448689407177</c:v>
                </c:pt>
                <c:pt idx="21">
                  <c:v>1.7051970764075357</c:v>
                </c:pt>
                <c:pt idx="22">
                  <c:v>1.6874342053258871</c:v>
                </c:pt>
                <c:pt idx="23">
                  <c:v>1.6715374515786559</c:v>
                </c:pt>
                <c:pt idx="24">
                  <c:v>1.6575836860478856</c:v>
                </c:pt>
                <c:pt idx="25">
                  <c:v>1.6456439191627306</c:v>
                </c:pt>
                <c:pt idx="26">
                  <c:v>1.6357816643105991</c:v>
                </c:pt>
                <c:pt idx="27">
                  <c:v>1.6280514122191092</c:v>
                </c:pt>
                <c:pt idx="28">
                  <c:v>1.6224972108523987</c:v>
                </c:pt>
                <c:pt idx="29">
                  <c:v>1.6191514590275322</c:v>
                </c:pt>
                <c:pt idx="30">
                  <c:v>1.6180339834744197</c:v>
                </c:pt>
                <c:pt idx="31">
                  <c:v>1.6191514590275322</c:v>
                </c:pt>
                <c:pt idx="32">
                  <c:v>1.6224972108523987</c:v>
                </c:pt>
                <c:pt idx="33">
                  <c:v>1.6280514122191092</c:v>
                </c:pt>
                <c:pt idx="34">
                  <c:v>1.6357816643105991</c:v>
                </c:pt>
                <c:pt idx="35">
                  <c:v>1.6456439191627306</c:v>
                </c:pt>
                <c:pt idx="36">
                  <c:v>1.6575836860478856</c:v>
                </c:pt>
                <c:pt idx="37">
                  <c:v>1.6715374515786561</c:v>
                </c:pt>
                <c:pt idx="38">
                  <c:v>1.6874342053258877</c:v>
                </c:pt>
                <c:pt idx="39">
                  <c:v>1.7051970764075357</c:v>
                </c:pt>
                <c:pt idx="40">
                  <c:v>1.7247448689407177</c:v>
                </c:pt>
                <c:pt idx="41">
                  <c:v>1.7459936284014639</c:v>
                </c:pt>
                <c:pt idx="42">
                  <c:v>1.7688577958776568</c:v>
                </c:pt>
                <c:pt idx="43">
                  <c:v>1.7932517507450196</c:v>
                </c:pt>
                <c:pt idx="44">
                  <c:v>1.8190906247933014</c:v>
                </c:pt>
                <c:pt idx="45">
                  <c:v>1.8462912253001402</c:v>
                </c:pt>
                <c:pt idx="46">
                  <c:v>1.8747727272888945</c:v>
                </c:pt>
                <c:pt idx="47">
                  <c:v>1.9044572053343325</c:v>
                </c:pt>
                <c:pt idx="48">
                  <c:v>1.9352700209532645</c:v>
                </c:pt>
                <c:pt idx="49">
                  <c:v>1.9671400839387221</c:v>
                </c:pt>
                <c:pt idx="50">
                  <c:v>2.0000000066796191</c:v>
                </c:pt>
                <c:pt idx="51">
                  <c:v>2.0337859103928557</c:v>
                </c:pt>
                <c:pt idx="52">
                  <c:v>2.0684385089295003</c:v>
                </c:pt>
                <c:pt idx="53">
                  <c:v>2.1039013295676035</c:v>
                </c:pt>
                <c:pt idx="54">
                  <c:v>2.1401218175368446</c:v>
                </c:pt>
                <c:pt idx="55">
                  <c:v>2.1770508823383183</c:v>
                </c:pt>
                <c:pt idx="56">
                  <c:v>2.2146427422133428</c:v>
                </c:pt>
                <c:pt idx="57">
                  <c:v>2.2528547550916196</c:v>
                </c:pt>
                <c:pt idx="58">
                  <c:v>2.291647242244331</c:v>
                </c:pt>
                <c:pt idx="59">
                  <c:v>2.3309833094599011</c:v>
                </c:pt>
                <c:pt idx="60">
                  <c:v>2.3708286694656611</c:v>
                </c:pt>
              </c:numCache>
            </c:numRef>
          </c:xVal>
          <c:yVal>
            <c:numRef>
              <c:f>hyperbola!$I$7:$I$67</c:f>
              <c:numCache>
                <c:formatCode>General</c:formatCode>
                <c:ptCount val="61"/>
                <c:pt idx="0">
                  <c:v>3</c:v>
                </c:pt>
                <c:pt idx="1">
                  <c:v>2.9</c:v>
                </c:pt>
                <c:pt idx="2">
                  <c:v>2.8</c:v>
                </c:pt>
                <c:pt idx="3">
                  <c:v>2.7</c:v>
                </c:pt>
                <c:pt idx="4">
                  <c:v>2.6</c:v>
                </c:pt>
                <c:pt idx="5">
                  <c:v>2.5</c:v>
                </c:pt>
                <c:pt idx="6">
                  <c:v>2.4</c:v>
                </c:pt>
                <c:pt idx="7">
                  <c:v>2.2999999999999998</c:v>
                </c:pt>
                <c:pt idx="8">
                  <c:v>2.2000000000000002</c:v>
                </c:pt>
                <c:pt idx="9">
                  <c:v>2.1</c:v>
                </c:pt>
                <c:pt idx="10">
                  <c:v>2</c:v>
                </c:pt>
                <c:pt idx="11">
                  <c:v>1.9</c:v>
                </c:pt>
                <c:pt idx="12">
                  <c:v>1.7999999999999998</c:v>
                </c:pt>
                <c:pt idx="13">
                  <c:v>1.7</c:v>
                </c:pt>
                <c:pt idx="14">
                  <c:v>1.5999999999999999</c:v>
                </c:pt>
                <c:pt idx="15">
                  <c:v>1.5</c:v>
                </c:pt>
                <c:pt idx="16">
                  <c:v>1.4</c:v>
                </c:pt>
                <c:pt idx="17">
                  <c:v>1.2999999999999998</c:v>
                </c:pt>
                <c:pt idx="18">
                  <c:v>1.2</c:v>
                </c:pt>
                <c:pt idx="19">
                  <c:v>1.0999999999999999</c:v>
                </c:pt>
                <c:pt idx="20">
                  <c:v>1</c:v>
                </c:pt>
                <c:pt idx="21">
                  <c:v>0.89999999999999991</c:v>
                </c:pt>
                <c:pt idx="22">
                  <c:v>0.79999999999999982</c:v>
                </c:pt>
                <c:pt idx="23">
                  <c:v>0.69999999999999973</c:v>
                </c:pt>
                <c:pt idx="24">
                  <c:v>0.59999999999999964</c:v>
                </c:pt>
                <c:pt idx="25">
                  <c:v>0.5</c:v>
                </c:pt>
                <c:pt idx="26">
                  <c:v>0.39999999999999991</c:v>
                </c:pt>
                <c:pt idx="27">
                  <c:v>0.29999999999999982</c:v>
                </c:pt>
                <c:pt idx="28">
                  <c:v>0.19999999999999973</c:v>
                </c:pt>
                <c:pt idx="29">
                  <c:v>9.9999999999999645E-2</c:v>
                </c:pt>
                <c:pt idx="30">
                  <c:v>0</c:v>
                </c:pt>
                <c:pt idx="31">
                  <c:v>-0.1</c:v>
                </c:pt>
                <c:pt idx="32">
                  <c:v>-0.2</c:v>
                </c:pt>
                <c:pt idx="33">
                  <c:v>-0.30000000000000004</c:v>
                </c:pt>
                <c:pt idx="34">
                  <c:v>-0.4</c:v>
                </c:pt>
                <c:pt idx="35">
                  <c:v>-0.5</c:v>
                </c:pt>
                <c:pt idx="36">
                  <c:v>-0.60000000000000009</c:v>
                </c:pt>
                <c:pt idx="37">
                  <c:v>-0.70000000000000007</c:v>
                </c:pt>
                <c:pt idx="38">
                  <c:v>-0.8</c:v>
                </c:pt>
                <c:pt idx="39">
                  <c:v>-0.9</c:v>
                </c:pt>
                <c:pt idx="40">
                  <c:v>-1</c:v>
                </c:pt>
                <c:pt idx="41">
                  <c:v>-1.1000000000000001</c:v>
                </c:pt>
                <c:pt idx="42">
                  <c:v>-1.2</c:v>
                </c:pt>
                <c:pt idx="43">
                  <c:v>-1.3</c:v>
                </c:pt>
                <c:pt idx="44">
                  <c:v>-1.4</c:v>
                </c:pt>
                <c:pt idx="45">
                  <c:v>-1.5</c:v>
                </c:pt>
                <c:pt idx="46">
                  <c:v>-1.6</c:v>
                </c:pt>
                <c:pt idx="47">
                  <c:v>-1.7</c:v>
                </c:pt>
                <c:pt idx="48">
                  <c:v>-1.8</c:v>
                </c:pt>
                <c:pt idx="49">
                  <c:v>-1.9</c:v>
                </c:pt>
                <c:pt idx="50">
                  <c:v>-2</c:v>
                </c:pt>
                <c:pt idx="51">
                  <c:v>-2.1</c:v>
                </c:pt>
                <c:pt idx="52">
                  <c:v>-2.2000000000000002</c:v>
                </c:pt>
                <c:pt idx="53">
                  <c:v>-2.2999999999999998</c:v>
                </c:pt>
                <c:pt idx="54">
                  <c:v>-2.4</c:v>
                </c:pt>
                <c:pt idx="55">
                  <c:v>-2.5</c:v>
                </c:pt>
                <c:pt idx="56">
                  <c:v>-2.6</c:v>
                </c:pt>
                <c:pt idx="57">
                  <c:v>-2.7</c:v>
                </c:pt>
                <c:pt idx="58">
                  <c:v>-2.8</c:v>
                </c:pt>
                <c:pt idx="59">
                  <c:v>-2.9</c:v>
                </c:pt>
                <c:pt idx="60">
                  <c:v>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00952"/>
        <c:axId val="523702520"/>
      </c:scatterChart>
      <c:valAx>
        <c:axId val="523700952"/>
        <c:scaling>
          <c:orientation val="minMax"/>
          <c:max val="4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 axis</a:t>
                </a:r>
              </a:p>
            </c:rich>
          </c:tx>
          <c:layout>
            <c:manualLayout>
              <c:xMode val="edge"/>
              <c:yMode val="edge"/>
              <c:x val="0.4633599216583828"/>
              <c:y val="0.938210888776517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702520"/>
        <c:crossesAt val="0"/>
        <c:crossBetween val="midCat"/>
      </c:valAx>
      <c:valAx>
        <c:axId val="523702520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r>
                  <a:rPr lang="en-US" altLang="ja-JP" baseline="0"/>
                  <a:t> axis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1.4461315979754157E-2"/>
              <c:y val="0.424594620626550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700952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968908170643532"/>
          <c:y val="0.14697994172746753"/>
          <c:w val="0.11123644251626898"/>
          <c:h val="0.10321173156107781"/>
        </c:manualLayout>
      </c:layout>
      <c:overlay val="0"/>
      <c:spPr>
        <a:solidFill>
          <a:schemeClr val="bg1"/>
        </a:solidFill>
        <a:ln cap="rnd">
          <a:solidFill>
            <a:schemeClr val="tx1">
              <a:lumMod val="95000"/>
              <a:lumOff val="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504825</xdr:colOff>
      <xdr:row>4</xdr:row>
      <xdr:rowOff>19050</xdr:rowOff>
    </xdr:from>
    <xdr:to>
      <xdr:col>17</xdr:col>
      <xdr:colOff>95250</xdr:colOff>
      <xdr:row>28</xdr:row>
      <xdr:rowOff>57150</xdr:rowOff>
    </xdr:to>
    <xdr:graphicFrame macro="">
      <xdr:nvGraphicFramePr>
        <xdr:cNvPr id="2" name="グラフ 1" title="Hyperbol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</xdr:row>
          <xdr:rowOff>38100</xdr:rowOff>
        </xdr:from>
        <xdr:to>
          <xdr:col>9</xdr:col>
          <xdr:colOff>323850</xdr:colOff>
          <xdr:row>3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hyperbola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W67"/>
  <sheetViews>
    <sheetView tabSelected="1" workbookViewId="0">
      <selection activeCell="R36" sqref="R36"/>
    </sheetView>
  </sheetViews>
  <sheetFormatPr defaultRowHeight="13.5" x14ac:dyDescent="0.15"/>
  <sheetData>
    <row r="1" spans="2:23" x14ac:dyDescent="0.15">
      <c r="W1">
        <v>0</v>
      </c>
    </row>
    <row r="3" spans="2:23" x14ac:dyDescent="0.15">
      <c r="B3" t="s">
        <v>0</v>
      </c>
      <c r="E3" t="s">
        <v>4</v>
      </c>
      <c r="F3">
        <v>5</v>
      </c>
    </row>
    <row r="4" spans="2:23" x14ac:dyDescent="0.15">
      <c r="B4" t="s">
        <v>1</v>
      </c>
      <c r="C4">
        <v>1</v>
      </c>
    </row>
    <row r="6" spans="2:23" x14ac:dyDescent="0.15">
      <c r="B6" t="s">
        <v>2</v>
      </c>
      <c r="C6">
        <v>0.2</v>
      </c>
      <c r="E6" t="s">
        <v>5</v>
      </c>
      <c r="F6" t="s">
        <v>8</v>
      </c>
      <c r="G6" t="s">
        <v>6</v>
      </c>
      <c r="H6" t="s">
        <v>9</v>
      </c>
      <c r="I6" t="s">
        <v>3</v>
      </c>
      <c r="J6" t="s">
        <v>7</v>
      </c>
    </row>
    <row r="7" spans="2:23" x14ac:dyDescent="0.15">
      <c r="B7" t="s">
        <v>1</v>
      </c>
      <c r="C7">
        <v>0</v>
      </c>
      <c r="E7">
        <v>-0.37082878778460487</v>
      </c>
      <c r="F7">
        <f>$F$3*(E7-directrix)^2-(E7-$C$7)^2</f>
        <v>9.2583438372452473</v>
      </c>
      <c r="G7">
        <v>2.3708286694656611</v>
      </c>
      <c r="H7">
        <f>$F$3*(G7-directrix)^2-(G7-$C$8)^2</f>
        <v>9.2583423030473</v>
      </c>
      <c r="I7">
        <v>3</v>
      </c>
      <c r="J7">
        <f>I7^2</f>
        <v>9</v>
      </c>
    </row>
    <row r="8" spans="2:23" x14ac:dyDescent="0.15">
      <c r="B8" t="s">
        <v>1</v>
      </c>
      <c r="C8">
        <v>2</v>
      </c>
      <c r="E8">
        <v>-0.3309833485947094</v>
      </c>
      <c r="F8">
        <f>$F$3*(E8-directrix)^2-(E8-$C$7)^2</f>
        <v>8.7480333941349606</v>
      </c>
      <c r="G8">
        <v>2.3309833094599011</v>
      </c>
      <c r="H8">
        <f>$F$3*(G8-directrix)^2-(G8-$C$8)^2</f>
        <v>8.7480328991631264</v>
      </c>
      <c r="I8">
        <v>2.9</v>
      </c>
      <c r="J8">
        <f t="shared" ref="J8:J67" si="0">I8^2</f>
        <v>8.41</v>
      </c>
    </row>
    <row r="9" spans="2:23" x14ac:dyDescent="0.15">
      <c r="E9">
        <v>-0.29164738603604001</v>
      </c>
      <c r="F9">
        <f>$F$3*(E9-directrix)^2-(E9-$C$7)^2</f>
        <v>8.2567066514870202</v>
      </c>
      <c r="G9">
        <v>2.291647242244331</v>
      </c>
      <c r="H9">
        <f>$F$3*(G9-directrix)^2-(G9-$C$8)^2</f>
        <v>8.2567048780782031</v>
      </c>
      <c r="I9">
        <v>2.8</v>
      </c>
      <c r="J9">
        <f t="shared" si="0"/>
        <v>7.839999999999999</v>
      </c>
    </row>
    <row r="10" spans="2:23" x14ac:dyDescent="0.15">
      <c r="E10">
        <v>-0.2528549083719081</v>
      </c>
      <c r="F10">
        <f>$F$3*(E10-directrix)^2-(E10-$C$7)^2</f>
        <v>7.7842915024701442</v>
      </c>
      <c r="G10">
        <v>2.2528547550916196</v>
      </c>
      <c r="H10">
        <f>$F$3*(G10-directrix)^2-(G10-$C$8)^2</f>
        <v>7.7842896596059674</v>
      </c>
      <c r="I10">
        <v>2.7</v>
      </c>
      <c r="J10">
        <f t="shared" si="0"/>
        <v>7.2900000000000009</v>
      </c>
    </row>
    <row r="11" spans="2:23" x14ac:dyDescent="0.15">
      <c r="E11">
        <v>-0.21464289894997779</v>
      </c>
      <c r="F11">
        <f>$F$3*(E11-directrix)^2-(E11-$C$7)^2</f>
        <v>7.3307152857783802</v>
      </c>
      <c r="G11">
        <v>2.2146427422133428</v>
      </c>
      <c r="H11">
        <f>$F$3*(G11-directrix)^2-(G11-$C$8)^2</f>
        <v>7.3307134492728823</v>
      </c>
      <c r="I11">
        <v>2.6</v>
      </c>
      <c r="J11">
        <f t="shared" si="0"/>
        <v>6.7600000000000007</v>
      </c>
    </row>
    <row r="12" spans="2:23" x14ac:dyDescent="0.15">
      <c r="E12">
        <v>-0.17705121523273706</v>
      </c>
      <c r="F12">
        <f>$F$3*(E12-directrix)^2-(E12-$C$7)^2</f>
        <v>6.8959006835889261</v>
      </c>
      <c r="G12">
        <v>2.1770508823383183</v>
      </c>
      <c r="H12">
        <f>$F$3*(G12-directrix)^2-(G12-$C$8)^2</f>
        <v>6.8958968831302911</v>
      </c>
      <c r="I12">
        <v>2.5</v>
      </c>
      <c r="J12">
        <f t="shared" si="0"/>
        <v>6.25</v>
      </c>
    </row>
    <row r="13" spans="2:23" x14ac:dyDescent="0.15">
      <c r="E13">
        <v>-0.1401220279003289</v>
      </c>
      <c r="F13">
        <f>$F$3*(E13-directrix)^2-(E13-$C$7)^2</f>
        <v>6.4797570098148922</v>
      </c>
      <c r="G13">
        <v>2.1401218175368446</v>
      </c>
      <c r="H13">
        <f>$F$3*(G13-directrix)^2-(G13-$C$8)^2</f>
        <v>6.4797546703677611</v>
      </c>
      <c r="I13">
        <v>2.4</v>
      </c>
      <c r="J13">
        <f t="shared" si="0"/>
        <v>5.76</v>
      </c>
    </row>
    <row r="14" spans="2:23" x14ac:dyDescent="0.15">
      <c r="E14">
        <v>-0.10390176861816826</v>
      </c>
      <c r="F14">
        <f>$F$3*(E14-directrix)^2-(E14-$C$7)^2</f>
        <v>6.0821999962696163</v>
      </c>
      <c r="G14">
        <v>2.1039013295676035</v>
      </c>
      <c r="H14">
        <f>$F$3*(G14-directrix)^2-(G14-$C$8)^2</f>
        <v>6.0821952408196971</v>
      </c>
      <c r="I14">
        <v>2.2999999999999998</v>
      </c>
      <c r="J14">
        <f t="shared" si="0"/>
        <v>5.2899999999999991</v>
      </c>
    </row>
    <row r="15" spans="2:23" x14ac:dyDescent="0.15">
      <c r="E15">
        <v>-6.843903230241391E-2</v>
      </c>
      <c r="F15">
        <f>$F$3*(E15-directrix)^2-(E15-$C$7)^2</f>
        <v>5.7031259275941029</v>
      </c>
      <c r="G15">
        <v>2.0684385089295003</v>
      </c>
      <c r="H15">
        <f>$F$3*(G15-directrix)^2-(G15-$C$8)^2</f>
        <v>5.7031204073129764</v>
      </c>
      <c r="I15">
        <v>2.2000000000000002</v>
      </c>
      <c r="J15">
        <f t="shared" si="0"/>
        <v>4.8400000000000007</v>
      </c>
    </row>
    <row r="16" spans="2:23" x14ac:dyDescent="0.15">
      <c r="E16">
        <v>-3.3786472989451879E-2</v>
      </c>
      <c r="F16">
        <f>$F$3*(E16-directrix)^2-(E16-$C$7)^2</f>
        <v>5.3424308329227879</v>
      </c>
      <c r="G16">
        <v>2.0337859103928557</v>
      </c>
      <c r="H16">
        <f>$F$3*(G16-directrix)^2-(G16-$C$8)^2</f>
        <v>5.3424250548928534</v>
      </c>
      <c r="I16">
        <v>2.1</v>
      </c>
      <c r="J16">
        <f t="shared" si="0"/>
        <v>4.41</v>
      </c>
    </row>
    <row r="17" spans="5:10" x14ac:dyDescent="0.15">
      <c r="E17">
        <v>1.7745516832768684E-8</v>
      </c>
      <c r="F17">
        <f>$F$3*(E17-directrix)^2-(E17-$C$7)^2</f>
        <v>4.999999822544833</v>
      </c>
      <c r="G17">
        <v>2.0000000066796191</v>
      </c>
      <c r="H17">
        <f>$F$3*(G17-directrix)^2-(G17-$C$8)^2</f>
        <v>5.0000000667961908</v>
      </c>
      <c r="I17">
        <v>2</v>
      </c>
      <c r="J17">
        <f t="shared" si="0"/>
        <v>4</v>
      </c>
    </row>
    <row r="18" spans="5:10" x14ac:dyDescent="0.15">
      <c r="E18">
        <v>3.2859949297763744E-2</v>
      </c>
      <c r="F18">
        <f>$F$3*(E18-directrix)^2-(E18-$C$7)^2</f>
        <v>4.6757196120937694</v>
      </c>
      <c r="G18">
        <v>1.9671400839387221</v>
      </c>
      <c r="H18">
        <f>$F$3*(G18-directrix)^2-(G18-$C$8)^2</f>
        <v>4.6757199357214372</v>
      </c>
      <c r="I18">
        <v>1.9</v>
      </c>
      <c r="J18">
        <f t="shared" si="0"/>
        <v>3.61</v>
      </c>
    </row>
    <row r="19" spans="5:10" x14ac:dyDescent="0.15">
      <c r="E19">
        <v>6.4730006424607092E-2</v>
      </c>
      <c r="F19">
        <f>$F$3*(E19-directrix)^2-(E19-$C$7)^2</f>
        <v>4.3694598306808476</v>
      </c>
      <c r="G19">
        <v>1.9352700209532641</v>
      </c>
      <c r="H19">
        <f>$F$3*(G19-directrix)^2-(G19-$C$8)^2</f>
        <v>4.3694600902822041</v>
      </c>
      <c r="I19">
        <v>1.7999999999999998</v>
      </c>
      <c r="J19">
        <f t="shared" si="0"/>
        <v>3.2399999999999993</v>
      </c>
    </row>
    <row r="20" spans="5:10" x14ac:dyDescent="0.15">
      <c r="E20">
        <v>9.5542854086420465E-2</v>
      </c>
      <c r="F20">
        <f>$F$3*(E20-directrix)^2-(E20-$C$7)^2</f>
        <v>4.0810852070037118</v>
      </c>
      <c r="G20">
        <v>1.9044572053343325</v>
      </c>
      <c r="H20">
        <f>$F$3*(G20-directrix)^2-(G20-$C$8)^2</f>
        <v>4.0810857557934286</v>
      </c>
      <c r="I20">
        <v>1.7</v>
      </c>
      <c r="J20">
        <f t="shared" si="0"/>
        <v>2.8899999999999997</v>
      </c>
    </row>
    <row r="21" spans="5:10" x14ac:dyDescent="0.15">
      <c r="E21">
        <v>0.12522734412139669</v>
      </c>
      <c r="F21">
        <f>$F$3*(E21-directrix)^2-(E21-$C$7)^2</f>
        <v>3.8104541096488278</v>
      </c>
      <c r="G21">
        <v>1.8747727272888945</v>
      </c>
      <c r="H21">
        <f>$F$3*(G21-directrix)^2-(G21-$C$8)^2</f>
        <v>3.8104547522115917</v>
      </c>
      <c r="I21">
        <v>1.5999999999999999</v>
      </c>
      <c r="J21">
        <f t="shared" si="0"/>
        <v>2.5599999999999996</v>
      </c>
    </row>
    <row r="22" spans="5:10" x14ac:dyDescent="0.15">
      <c r="E22">
        <v>0.15370882903513913</v>
      </c>
      <c r="F22">
        <f>$F$3*(E22-directrix)^2-(E22-$C$7)^2</f>
        <v>3.5574173261420228</v>
      </c>
      <c r="G22">
        <v>1.8462912253001402</v>
      </c>
      <c r="H22">
        <f>$F$3*(G22-directrix)^2-(G22-$C$8)^2</f>
        <v>3.5574178026803307</v>
      </c>
      <c r="I22">
        <v>1.5</v>
      </c>
      <c r="J22">
        <f t="shared" si="0"/>
        <v>2.25</v>
      </c>
    </row>
    <row r="23" spans="5:10" x14ac:dyDescent="0.15">
      <c r="E23">
        <v>0.1809094180095599</v>
      </c>
      <c r="F23">
        <f>$F$3*(E23-directrix)^2-(E23-$C$7)^2</f>
        <v>3.3218186900026323</v>
      </c>
      <c r="G23">
        <v>1.8190906247933014</v>
      </c>
      <c r="H23">
        <f>$F$3*(G23-directrix)^2-(G23-$C$8)^2</f>
        <v>3.3218190560837262</v>
      </c>
      <c r="I23">
        <v>1.4</v>
      </c>
      <c r="J23">
        <f t="shared" si="0"/>
        <v>1.9599999999999997</v>
      </c>
    </row>
    <row r="24" spans="5:10" x14ac:dyDescent="0.15">
      <c r="E24">
        <v>0.20674833666835926</v>
      </c>
      <c r="F24">
        <f>$F$3*(E24-directrix)^2-(E24-$C$7)^2</f>
        <v>3.1034961321769408</v>
      </c>
      <c r="G24">
        <v>1.7932517507450194</v>
      </c>
      <c r="H24">
        <f>$F$3*(G24-directrix)^2-(G24-$C$8)^2</f>
        <v>3.1034968617301923</v>
      </c>
      <c r="I24">
        <v>1.2999999999999998</v>
      </c>
      <c r="J24">
        <f t="shared" si="0"/>
        <v>1.6899999999999995</v>
      </c>
    </row>
    <row r="25" spans="5:10" x14ac:dyDescent="0.15">
      <c r="E25">
        <v>0.23114224221173504</v>
      </c>
      <c r="F25">
        <f>$F$3*(E25-directrix)^2-(E25-$C$7)^2</f>
        <v>2.902284522421323</v>
      </c>
      <c r="G25">
        <v>1.7688577958776568</v>
      </c>
      <c r="H25">
        <f>$F$3*(G25-directrix)^2-(G25-$C$8)^2</f>
        <v>2.902284832882708</v>
      </c>
      <c r="I25">
        <v>1.2</v>
      </c>
      <c r="J25">
        <f t="shared" si="0"/>
        <v>1.44</v>
      </c>
    </row>
    <row r="26" spans="5:10" x14ac:dyDescent="0.15">
      <c r="E26">
        <v>0.25400641451730044</v>
      </c>
      <c r="F26">
        <f>$F$3*(E26-directrix)^2-(E26-$C$7)^2</f>
        <v>2.7180128892907343</v>
      </c>
      <c r="G26">
        <v>1.7459936284014641</v>
      </c>
      <c r="H26">
        <f>$F$3*(G26-directrix)^2-(G26-$C$8)^2</f>
        <v>2.718013231265255</v>
      </c>
      <c r="I26">
        <v>1.0999999999999999</v>
      </c>
      <c r="J26">
        <f t="shared" si="0"/>
        <v>1.2099999999999997</v>
      </c>
    </row>
    <row r="27" spans="5:10" x14ac:dyDescent="0.15">
      <c r="E27">
        <v>0.27525511977248257</v>
      </c>
      <c r="F27">
        <f>$F$3*(E27-directrix)^2-(E27-$C$7)^2</f>
        <v>2.5505103261190287</v>
      </c>
      <c r="G27">
        <v>1.7247448689407177</v>
      </c>
      <c r="H27">
        <f>$F$3*(G27-directrix)^2-(G27-$C$8)^2</f>
        <v>2.5505102381050273</v>
      </c>
      <c r="I27">
        <v>1</v>
      </c>
      <c r="J27">
        <f t="shared" si="0"/>
        <v>1</v>
      </c>
    </row>
    <row r="28" spans="5:10" x14ac:dyDescent="0.15">
      <c r="E28">
        <v>0.29480290855976571</v>
      </c>
      <c r="F28">
        <f>$F$3*(E28-directrix)^2-(E28-$C$7)^2</f>
        <v>2.3996059339835334</v>
      </c>
      <c r="G28">
        <v>1.7051970764075357</v>
      </c>
      <c r="H28">
        <f>$F$3*(G28-directrix)^2-(G28-$C$8)^2</f>
        <v>2.3996058191100142</v>
      </c>
      <c r="I28">
        <v>0.89999999999999991</v>
      </c>
      <c r="J28">
        <f t="shared" si="0"/>
        <v>0.80999999999999983</v>
      </c>
    </row>
    <row r="29" spans="5:10" x14ac:dyDescent="0.15">
      <c r="E29">
        <v>0.31256579206111512</v>
      </c>
      <c r="F29">
        <f>$F$3*(E29-directrix)^2-(E29-$C$7)^2</f>
        <v>2.2651315768560178</v>
      </c>
      <c r="G29">
        <v>1.6874342053258871</v>
      </c>
      <c r="H29">
        <f>$F$3*(G29-directrix)^2-(G29-$C$8)^2</f>
        <v>2.2651315572599096</v>
      </c>
      <c r="I29">
        <v>0.79999999999999982</v>
      </c>
      <c r="J29">
        <f t="shared" si="0"/>
        <v>0.63999999999999968</v>
      </c>
    </row>
    <row r="30" spans="5:10" x14ac:dyDescent="0.15">
      <c r="E30">
        <v>0.32846254962060145</v>
      </c>
      <c r="F30">
        <f>$F$3*(E30-directrix)^2-(E30-$C$7)^2</f>
        <v>2.1469250898070493</v>
      </c>
      <c r="G30">
        <v>1.6715374515786559</v>
      </c>
      <c r="H30">
        <f>$F$3*(G30-directrix)^2-(G30-$C$8)^2</f>
        <v>2.1469250986483344</v>
      </c>
      <c r="I30">
        <v>0.69999999999999973</v>
      </c>
      <c r="J30">
        <f t="shared" si="0"/>
        <v>0.4899999999999996</v>
      </c>
    </row>
    <row r="31" spans="5:10" x14ac:dyDescent="0.15">
      <c r="E31">
        <v>0.34241631099498437</v>
      </c>
      <c r="F31">
        <f>$F$3*(E31-directrix)^2-(E31-$C$7)^2</f>
        <v>2.0448326101918117</v>
      </c>
      <c r="G31">
        <v>1.6575836860478856</v>
      </c>
      <c r="H31">
        <f>$F$3*(G31-directrix)^2-(G31-$C$8)^2</f>
        <v>2.0448325887210683</v>
      </c>
      <c r="I31">
        <v>0.59999999999999964</v>
      </c>
      <c r="J31">
        <f t="shared" si="0"/>
        <v>0.3599999999999996</v>
      </c>
    </row>
    <row r="32" spans="5:10" x14ac:dyDescent="0.15">
      <c r="E32">
        <v>0.35435604754423483</v>
      </c>
      <c r="F32">
        <f>$F$3*(E32-directrix)^2-(E32-$C$7)^2</f>
        <v>1.9587123582823394</v>
      </c>
      <c r="G32">
        <v>1.6456439191627306</v>
      </c>
      <c r="H32">
        <f>$F$3*(G32-directrix)^2-(G32-$C$8)^2</f>
        <v>1.9587121197327033</v>
      </c>
      <c r="I32">
        <v>0.5</v>
      </c>
      <c r="J32">
        <f t="shared" si="0"/>
        <v>0.25</v>
      </c>
    </row>
    <row r="33" spans="5:10" x14ac:dyDescent="0.15">
      <c r="E33">
        <v>0.36421829796783556</v>
      </c>
      <c r="F33">
        <f>$F$3*(E33-directrix)^2-(E33-$C$7)^2</f>
        <v>1.8884368946199925</v>
      </c>
      <c r="G33">
        <v>1.6357816643105991</v>
      </c>
      <c r="H33">
        <f>$F$3*(G33-directrix)^2-(G33-$C$8)^2</f>
        <v>1.8884366273154196</v>
      </c>
      <c r="I33">
        <v>0.39999999999999991</v>
      </c>
      <c r="J33">
        <f t="shared" si="0"/>
        <v>0.15999999999999992</v>
      </c>
    </row>
    <row r="34" spans="5:10" x14ac:dyDescent="0.15">
      <c r="E34">
        <v>0.37194854621403423</v>
      </c>
      <c r="F34">
        <f>$F$3*(E34-directrix)^2-(E34-$C$7)^2</f>
        <v>1.8338974219825923</v>
      </c>
      <c r="G34">
        <v>1.6280514122191092</v>
      </c>
      <c r="H34">
        <f>$F$3*(G34-directrix)^2-(G34-$C$8)^2</f>
        <v>1.8338971299998879</v>
      </c>
      <c r="I34">
        <v>0.29999999999999982</v>
      </c>
      <c r="J34">
        <f t="shared" si="0"/>
        <v>8.99999999999999E-2</v>
      </c>
    </row>
    <row r="35" spans="5:10" x14ac:dyDescent="0.15">
      <c r="E35">
        <v>0.37750274459521049</v>
      </c>
      <c r="F35">
        <f>$F$3*(E35-directrix)^2-(E35-$C$7)^2</f>
        <v>1.795005842755562</v>
      </c>
      <c r="G35">
        <v>1.6224972108523987</v>
      </c>
      <c r="H35">
        <f>$F$3*(G35-directrix)^2-(G35-$C$8)^2</f>
        <v>1.7950055317808604</v>
      </c>
      <c r="I35">
        <v>0.19999999999999973</v>
      </c>
      <c r="J35">
        <f t="shared" si="0"/>
        <v>3.9999999999999897E-2</v>
      </c>
    </row>
    <row r="36" spans="5:10" x14ac:dyDescent="0.15">
      <c r="E36">
        <v>0.38084849452536434</v>
      </c>
      <c r="F36">
        <f>$F$3*(E36-directrix)^2-(E36-$C$7)^2</f>
        <v>1.7716973578753028</v>
      </c>
      <c r="G36">
        <v>1.6191514590275322</v>
      </c>
      <c r="H36">
        <f>$F$3*(G36-directrix)^2-(G36-$C$8)^2</f>
        <v>1.771697034918752</v>
      </c>
      <c r="I36">
        <v>9.9999999999999645E-2</v>
      </c>
      <c r="J36">
        <f t="shared" si="0"/>
        <v>9.9999999999999291E-3</v>
      </c>
    </row>
    <row r="37" spans="5:10" x14ac:dyDescent="0.15">
      <c r="E37">
        <v>0.38196596942897121</v>
      </c>
      <c r="F37">
        <f>$F$3*(E37-directrix)^2-(E37-$C$7)^2</f>
        <v>1.763932312917543</v>
      </c>
      <c r="G37">
        <v>1.6180339834744197</v>
      </c>
      <c r="H37">
        <f>$F$3*(G37-directrix)^2-(G37-$C$8)^2</f>
        <v>1.7639319858658771</v>
      </c>
      <c r="I37">
        <v>0</v>
      </c>
      <c r="J37">
        <f t="shared" si="0"/>
        <v>0</v>
      </c>
    </row>
    <row r="38" spans="5:10" x14ac:dyDescent="0.15">
      <c r="E38">
        <v>0.38084849452536451</v>
      </c>
      <c r="F38">
        <f>$F$3*(E38-directrix)^2-(E38-$C$7)^2</f>
        <v>1.7716973578753012</v>
      </c>
      <c r="G38">
        <v>1.6191514590275322</v>
      </c>
      <c r="H38">
        <f>$F$3*(G38-directrix)^2-(G38-$C$8)^2</f>
        <v>1.771697034918752</v>
      </c>
      <c r="I38">
        <v>-0.1</v>
      </c>
      <c r="J38">
        <f t="shared" si="0"/>
        <v>1.0000000000000002E-2</v>
      </c>
    </row>
    <row r="39" spans="5:10" x14ac:dyDescent="0.15">
      <c r="E39">
        <v>0.37750274459521044</v>
      </c>
      <c r="F39">
        <f>$F$3*(E39-directrix)^2-(E39-$C$7)^2</f>
        <v>1.7950058427555626</v>
      </c>
      <c r="G39">
        <v>1.6224972108523987</v>
      </c>
      <c r="H39">
        <f>$F$3*(G39-directrix)^2-(G39-$C$8)^2</f>
        <v>1.7950055317808604</v>
      </c>
      <c r="I39">
        <v>-0.2</v>
      </c>
      <c r="J39">
        <f t="shared" si="0"/>
        <v>4.0000000000000008E-2</v>
      </c>
    </row>
    <row r="40" spans="5:10" x14ac:dyDescent="0.15">
      <c r="E40">
        <v>0.37194854621403417</v>
      </c>
      <c r="F40">
        <f>$F$3*(E40-directrix)^2-(E40-$C$7)^2</f>
        <v>1.8338974219825923</v>
      </c>
      <c r="G40">
        <v>1.6280514122191092</v>
      </c>
      <c r="H40">
        <f>$F$3*(G40-directrix)^2-(G40-$C$8)^2</f>
        <v>1.8338971299998879</v>
      </c>
      <c r="I40">
        <v>-0.30000000000000004</v>
      </c>
      <c r="J40">
        <f t="shared" si="0"/>
        <v>9.0000000000000024E-2</v>
      </c>
    </row>
    <row r="41" spans="5:10" x14ac:dyDescent="0.15">
      <c r="E41">
        <v>0.3642182979678355</v>
      </c>
      <c r="F41">
        <f>$F$3*(E41-directrix)^2-(E41-$C$7)^2</f>
        <v>1.8884368946199934</v>
      </c>
      <c r="G41">
        <v>1.6357816643105991</v>
      </c>
      <c r="H41">
        <f>$F$3*(G41-directrix)^2-(G41-$C$8)^2</f>
        <v>1.8884366273154196</v>
      </c>
      <c r="I41">
        <v>-0.4</v>
      </c>
      <c r="J41">
        <f t="shared" si="0"/>
        <v>0.16000000000000003</v>
      </c>
    </row>
    <row r="42" spans="5:10" x14ac:dyDescent="0.15">
      <c r="E42">
        <v>0.35435604754423483</v>
      </c>
      <c r="F42">
        <f>$F$3*(E42-directrix)^2-(E42-$C$7)^2</f>
        <v>1.9587123582823394</v>
      </c>
      <c r="G42">
        <v>1.6456439191627306</v>
      </c>
      <c r="H42">
        <f>$F$3*(G42-directrix)^2-(G42-$C$8)^2</f>
        <v>1.9587121197327033</v>
      </c>
      <c r="I42">
        <v>-0.5</v>
      </c>
      <c r="J42">
        <f t="shared" si="0"/>
        <v>0.25</v>
      </c>
    </row>
    <row r="43" spans="5:10" x14ac:dyDescent="0.15">
      <c r="E43">
        <v>0.34241631099498426</v>
      </c>
      <c r="F43">
        <f>$F$3*(E43-directrix)^2-(E43-$C$7)^2</f>
        <v>2.0448326101918126</v>
      </c>
      <c r="G43">
        <v>1.6575836860478856</v>
      </c>
      <c r="H43">
        <f>$F$3*(G43-directrix)^2-(G43-$C$8)^2</f>
        <v>2.0448325887210683</v>
      </c>
      <c r="I43">
        <v>-0.60000000000000009</v>
      </c>
      <c r="J43">
        <f t="shared" si="0"/>
        <v>0.3600000000000001</v>
      </c>
    </row>
    <row r="44" spans="5:10" x14ac:dyDescent="0.15">
      <c r="E44">
        <v>0.32846254962060145</v>
      </c>
      <c r="F44">
        <f>$F$3*(E44-directrix)^2-(E44-$C$7)^2</f>
        <v>2.1469250898070493</v>
      </c>
      <c r="G44">
        <v>1.6715374515786561</v>
      </c>
      <c r="H44">
        <f>$F$3*(G44-directrix)^2-(G44-$C$8)^2</f>
        <v>2.1469250986483357</v>
      </c>
      <c r="I44">
        <v>-0.70000000000000007</v>
      </c>
      <c r="J44">
        <f t="shared" si="0"/>
        <v>0.4900000000000001</v>
      </c>
    </row>
    <row r="45" spans="5:10" x14ac:dyDescent="0.15">
      <c r="E45">
        <v>0.31256579206111507</v>
      </c>
      <c r="F45">
        <f>$F$3*(E45-directrix)^2-(E45-$C$7)^2</f>
        <v>2.2651315768560178</v>
      </c>
      <c r="G45">
        <v>1.6874342053258877</v>
      </c>
      <c r="H45">
        <f>$F$3*(G45-directrix)^2-(G45-$C$8)^2</f>
        <v>2.265131557259914</v>
      </c>
      <c r="I45">
        <v>-0.8</v>
      </c>
      <c r="J45">
        <f t="shared" si="0"/>
        <v>0.64000000000000012</v>
      </c>
    </row>
    <row r="46" spans="5:10" x14ac:dyDescent="0.15">
      <c r="E46">
        <v>0.29480290855976587</v>
      </c>
      <c r="F46">
        <f>$F$3*(E46-directrix)^2-(E46-$C$7)^2</f>
        <v>2.3996059339835321</v>
      </c>
      <c r="G46">
        <v>1.7051970764075357</v>
      </c>
      <c r="H46">
        <f>$F$3*(G46-directrix)^2-(G46-$C$8)^2</f>
        <v>2.3996058191100142</v>
      </c>
      <c r="I46">
        <v>-0.9</v>
      </c>
      <c r="J46">
        <f t="shared" si="0"/>
        <v>0.81</v>
      </c>
    </row>
    <row r="47" spans="5:10" x14ac:dyDescent="0.15">
      <c r="E47">
        <v>0.27525511977248257</v>
      </c>
      <c r="F47">
        <f>$F$3*(E47-directrix)^2-(E47-$C$7)^2</f>
        <v>2.5505103261190287</v>
      </c>
      <c r="G47">
        <v>1.7247448689407177</v>
      </c>
      <c r="H47">
        <f>$F$3*(G47-directrix)^2-(G47-$C$8)^2</f>
        <v>2.5505102381050273</v>
      </c>
      <c r="I47">
        <v>-1</v>
      </c>
      <c r="J47">
        <f t="shared" si="0"/>
        <v>1</v>
      </c>
    </row>
    <row r="48" spans="5:10" x14ac:dyDescent="0.15">
      <c r="E48">
        <v>0.25400641451730055</v>
      </c>
      <c r="F48">
        <f>$F$3*(E48-directrix)^2-(E48-$C$7)^2</f>
        <v>2.7180128892907334</v>
      </c>
      <c r="G48">
        <v>1.7459936284014639</v>
      </c>
      <c r="H48">
        <f>$F$3*(G48-directrix)^2-(G48-$C$8)^2</f>
        <v>2.7180132312652532</v>
      </c>
      <c r="I48">
        <v>-1.1000000000000001</v>
      </c>
      <c r="J48">
        <f t="shared" si="0"/>
        <v>1.2100000000000002</v>
      </c>
    </row>
    <row r="49" spans="5:10" x14ac:dyDescent="0.15">
      <c r="E49">
        <v>0.23114224221173504</v>
      </c>
      <c r="F49">
        <f>$F$3*(E49-directrix)^2-(E49-$C$7)^2</f>
        <v>2.902284522421323</v>
      </c>
      <c r="G49">
        <v>1.7688577958776568</v>
      </c>
      <c r="H49">
        <f>$F$3*(G49-directrix)^2-(G49-$C$8)^2</f>
        <v>2.902284832882708</v>
      </c>
      <c r="I49">
        <v>-1.2</v>
      </c>
      <c r="J49">
        <f t="shared" si="0"/>
        <v>1.44</v>
      </c>
    </row>
    <row r="50" spans="5:10" x14ac:dyDescent="0.15">
      <c r="E50">
        <v>0.20674833666835921</v>
      </c>
      <c r="F50">
        <f>$F$3*(E50-directrix)^2-(E50-$C$7)^2</f>
        <v>3.1034961321769408</v>
      </c>
      <c r="G50">
        <v>1.7932517507450196</v>
      </c>
      <c r="H50">
        <f>$F$3*(G50-directrix)^2-(G50-$C$8)^2</f>
        <v>3.1034968617301941</v>
      </c>
      <c r="I50">
        <v>-1.3</v>
      </c>
      <c r="J50">
        <f t="shared" si="0"/>
        <v>1.6900000000000002</v>
      </c>
    </row>
    <row r="51" spans="5:10" x14ac:dyDescent="0.15">
      <c r="E51">
        <v>0.1809094180095599</v>
      </c>
      <c r="F51">
        <f>$F$3*(E51-directrix)^2-(E51-$C$7)^2</f>
        <v>3.3218186900026323</v>
      </c>
      <c r="G51">
        <v>1.8190906247933014</v>
      </c>
      <c r="H51">
        <f>$F$3*(G51-directrix)^2-(G51-$C$8)^2</f>
        <v>3.3218190560837262</v>
      </c>
      <c r="I51">
        <v>-1.4</v>
      </c>
      <c r="J51">
        <f t="shared" si="0"/>
        <v>1.9599999999999997</v>
      </c>
    </row>
    <row r="52" spans="5:10" x14ac:dyDescent="0.15">
      <c r="E52">
        <v>0.15370882903513913</v>
      </c>
      <c r="F52">
        <f>$F$3*(E52-directrix)^2-(E52-$C$7)^2</f>
        <v>3.5574173261420228</v>
      </c>
      <c r="G52">
        <v>1.8462912253001402</v>
      </c>
      <c r="H52">
        <f>$F$3*(G52-directrix)^2-(G52-$C$8)^2</f>
        <v>3.5574178026803307</v>
      </c>
      <c r="I52">
        <v>-1.5</v>
      </c>
      <c r="J52">
        <f t="shared" si="0"/>
        <v>2.25</v>
      </c>
    </row>
    <row r="53" spans="5:10" x14ac:dyDescent="0.15">
      <c r="E53">
        <v>0.12522734412139655</v>
      </c>
      <c r="F53">
        <f>$F$3*(E53-directrix)^2-(E53-$C$7)^2</f>
        <v>3.8104541096488291</v>
      </c>
      <c r="G53">
        <v>1.8747727272888945</v>
      </c>
      <c r="H53">
        <f>$F$3*(G53-directrix)^2-(G53-$C$8)^2</f>
        <v>3.8104547522115917</v>
      </c>
      <c r="I53">
        <v>-1.6</v>
      </c>
      <c r="J53">
        <f t="shared" si="0"/>
        <v>2.5600000000000005</v>
      </c>
    </row>
    <row r="54" spans="5:10" x14ac:dyDescent="0.15">
      <c r="E54">
        <v>9.5542854086420465E-2</v>
      </c>
      <c r="F54">
        <f>$F$3*(E54-directrix)^2-(E54-$C$7)^2</f>
        <v>4.0810852070037118</v>
      </c>
      <c r="G54">
        <v>1.9044572053343325</v>
      </c>
      <c r="H54">
        <f>$F$3*(G54-directrix)^2-(G54-$C$8)^2</f>
        <v>4.0810857557934286</v>
      </c>
      <c r="I54">
        <v>-1.7</v>
      </c>
      <c r="J54">
        <f t="shared" si="0"/>
        <v>2.8899999999999997</v>
      </c>
    </row>
    <row r="55" spans="5:10" x14ac:dyDescent="0.15">
      <c r="E55">
        <v>6.4730006424607023E-2</v>
      </c>
      <c r="F55">
        <f>$F$3*(E55-directrix)^2-(E55-$C$7)^2</f>
        <v>4.3694598306808485</v>
      </c>
      <c r="G55">
        <v>1.9352700209532645</v>
      </c>
      <c r="H55">
        <f>$F$3*(G55-directrix)^2-(G55-$C$8)^2</f>
        <v>4.3694600902822085</v>
      </c>
      <c r="I55">
        <v>-1.8</v>
      </c>
      <c r="J55">
        <f t="shared" si="0"/>
        <v>3.24</v>
      </c>
    </row>
    <row r="56" spans="5:10" x14ac:dyDescent="0.15">
      <c r="E56">
        <v>3.2859949297763744E-2</v>
      </c>
      <c r="F56">
        <f>$F$3*(E56-directrix)^2-(E56-$C$7)^2</f>
        <v>4.6757196120937694</v>
      </c>
      <c r="G56">
        <v>1.9671400839387221</v>
      </c>
      <c r="H56">
        <f>$F$3*(G56-directrix)^2-(G56-$C$8)^2</f>
        <v>4.6757199357214372</v>
      </c>
      <c r="I56">
        <v>-1.9</v>
      </c>
      <c r="J56">
        <f t="shared" si="0"/>
        <v>3.61</v>
      </c>
    </row>
    <row r="57" spans="5:10" x14ac:dyDescent="0.15">
      <c r="E57">
        <v>1.7745516832768684E-8</v>
      </c>
      <c r="F57">
        <f>$F$3*(E57-directrix)^2-(E57-$C$7)^2</f>
        <v>4.999999822544833</v>
      </c>
      <c r="G57">
        <v>2.0000000066796191</v>
      </c>
      <c r="H57">
        <f>$F$3*(G57-directrix)^2-(G57-$C$8)^2</f>
        <v>5.0000000667961908</v>
      </c>
      <c r="I57">
        <v>-2</v>
      </c>
      <c r="J57">
        <f t="shared" si="0"/>
        <v>4</v>
      </c>
    </row>
    <row r="58" spans="5:10" x14ac:dyDescent="0.15">
      <c r="E58">
        <v>-3.3786472989451879E-2</v>
      </c>
      <c r="F58">
        <f>$F$3*(E58-directrix)^2-(E58-$C$7)^2</f>
        <v>5.3424308329227879</v>
      </c>
      <c r="G58">
        <v>2.0337859103928557</v>
      </c>
      <c r="H58">
        <f>$F$3*(G58-directrix)^2-(G58-$C$8)^2</f>
        <v>5.3424250548928534</v>
      </c>
      <c r="I58">
        <v>-2.1</v>
      </c>
      <c r="J58">
        <f t="shared" si="0"/>
        <v>4.41</v>
      </c>
    </row>
    <row r="59" spans="5:10" x14ac:dyDescent="0.15">
      <c r="E59">
        <v>-6.843903230241391E-2</v>
      </c>
      <c r="F59">
        <f>$F$3*(E59-directrix)^2-(E59-$C$7)^2</f>
        <v>5.7031259275941029</v>
      </c>
      <c r="G59">
        <v>2.0684385089295003</v>
      </c>
      <c r="H59">
        <f>$F$3*(G59-directrix)^2-(G59-$C$8)^2</f>
        <v>5.7031204073129764</v>
      </c>
      <c r="I59">
        <v>-2.2000000000000002</v>
      </c>
      <c r="J59">
        <f t="shared" si="0"/>
        <v>4.8400000000000007</v>
      </c>
    </row>
    <row r="60" spans="5:10" x14ac:dyDescent="0.15">
      <c r="E60">
        <v>-0.10390176861816826</v>
      </c>
      <c r="F60">
        <f>$F$3*(E60-directrix)^2-(E60-$C$7)^2</f>
        <v>6.0821999962696163</v>
      </c>
      <c r="G60">
        <v>2.1039013295676035</v>
      </c>
      <c r="H60">
        <f>$F$3*(G60-directrix)^2-(G60-$C$8)^2</f>
        <v>6.0821952408196971</v>
      </c>
      <c r="I60">
        <v>-2.2999999999999998</v>
      </c>
      <c r="J60">
        <f t="shared" si="0"/>
        <v>5.2899999999999991</v>
      </c>
    </row>
    <row r="61" spans="5:10" x14ac:dyDescent="0.15">
      <c r="E61">
        <v>-0.1401220279003289</v>
      </c>
      <c r="F61">
        <f>$F$3*(E61-directrix)^2-(E61-$C$7)^2</f>
        <v>6.4797570098148922</v>
      </c>
      <c r="G61">
        <v>2.1401218175368446</v>
      </c>
      <c r="H61">
        <f>$F$3*(G61-directrix)^2-(G61-$C$8)^2</f>
        <v>6.4797546703677611</v>
      </c>
      <c r="I61">
        <v>-2.4</v>
      </c>
      <c r="J61">
        <f t="shared" si="0"/>
        <v>5.76</v>
      </c>
    </row>
    <row r="62" spans="5:10" x14ac:dyDescent="0.15">
      <c r="E62">
        <v>-0.17705121523273706</v>
      </c>
      <c r="F62">
        <f>$F$3*(E62-directrix)^2-(E62-$C$7)^2</f>
        <v>6.8959006835889261</v>
      </c>
      <c r="G62">
        <v>2.1770508823383183</v>
      </c>
      <c r="H62">
        <f>$F$3*(G62-directrix)^2-(G62-$C$8)^2</f>
        <v>6.8958968831302911</v>
      </c>
      <c r="I62">
        <v>-2.5</v>
      </c>
      <c r="J62">
        <f t="shared" si="0"/>
        <v>6.25</v>
      </c>
    </row>
    <row r="63" spans="5:10" x14ac:dyDescent="0.15">
      <c r="E63">
        <v>-0.21464289894997779</v>
      </c>
      <c r="F63">
        <f>$F$3*(E63-directrix)^2-(E63-$C$7)^2</f>
        <v>7.3307152857783802</v>
      </c>
      <c r="G63">
        <v>2.2146427422133428</v>
      </c>
      <c r="H63">
        <f>$F$3*(G63-directrix)^2-(G63-$C$8)^2</f>
        <v>7.3307134492728823</v>
      </c>
      <c r="I63">
        <v>-2.6</v>
      </c>
      <c r="J63">
        <f t="shared" si="0"/>
        <v>6.7600000000000007</v>
      </c>
    </row>
    <row r="64" spans="5:10" x14ac:dyDescent="0.15">
      <c r="E64">
        <v>-0.2528549083719081</v>
      </c>
      <c r="F64">
        <f>$F$3*(E64-directrix)^2-(E64-$C$7)^2</f>
        <v>7.7842915024701442</v>
      </c>
      <c r="G64">
        <v>2.2528547550916196</v>
      </c>
      <c r="H64">
        <f>$F$3*(G64-directrix)^2-(G64-$C$8)^2</f>
        <v>7.7842896596059674</v>
      </c>
      <c r="I64">
        <v>-2.7</v>
      </c>
      <c r="J64">
        <f t="shared" si="0"/>
        <v>7.2900000000000009</v>
      </c>
    </row>
    <row r="65" spans="5:10" x14ac:dyDescent="0.15">
      <c r="E65">
        <v>-0.29164738603604001</v>
      </c>
      <c r="F65">
        <f>$F$3*(E65-directrix)^2-(E65-$C$7)^2</f>
        <v>8.2567066514870202</v>
      </c>
      <c r="G65">
        <v>2.291647242244331</v>
      </c>
      <c r="H65">
        <f>$F$3*(G65-directrix)^2-(G65-$C$8)^2</f>
        <v>8.2567048780782031</v>
      </c>
      <c r="I65">
        <v>-2.8</v>
      </c>
      <c r="J65">
        <f t="shared" si="0"/>
        <v>7.839999999999999</v>
      </c>
    </row>
    <row r="66" spans="5:10" x14ac:dyDescent="0.15">
      <c r="E66">
        <v>-0.3309833485947094</v>
      </c>
      <c r="F66">
        <f>$F$3*(E66-directrix)^2-(E66-$C$7)^2</f>
        <v>8.7480333941349606</v>
      </c>
      <c r="G66">
        <v>2.3309833094599011</v>
      </c>
      <c r="H66">
        <f>$F$3*(G66-directrix)^2-(G66-$C$8)^2</f>
        <v>8.7480328991631264</v>
      </c>
      <c r="I66">
        <v>-2.9</v>
      </c>
      <c r="J66">
        <f t="shared" si="0"/>
        <v>8.41</v>
      </c>
    </row>
    <row r="67" spans="5:10" x14ac:dyDescent="0.15">
      <c r="E67">
        <v>-0.37082878778460487</v>
      </c>
      <c r="F67">
        <f>$F$3*(E67-directrix)^2-(E67-$C$7)^2</f>
        <v>9.2583438372452473</v>
      </c>
      <c r="G67">
        <v>2.3708286694656611</v>
      </c>
      <c r="H67">
        <f>$F$3*(G67-directrix)^2-(G67-$C$8)^2</f>
        <v>9.2583423030473</v>
      </c>
      <c r="I67">
        <v>-3</v>
      </c>
      <c r="J67">
        <f t="shared" si="0"/>
        <v>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4.hyperbola">
                <anchor moveWithCells="1">
                  <from>
                    <xdr:col>8</xdr:col>
                    <xdr:colOff>228600</xdr:colOff>
                    <xdr:row>1</xdr:row>
                    <xdr:rowOff>38100</xdr:rowOff>
                  </from>
                  <to>
                    <xdr:col>9</xdr:col>
                    <xdr:colOff>323850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10</vt:i4>
      </vt:variant>
    </vt:vector>
  </HeadingPairs>
  <TitlesOfParts>
    <vt:vector size="11" baseType="lpstr">
      <vt:lpstr>hyperbola</vt:lpstr>
      <vt:lpstr>directrix</vt:lpstr>
      <vt:lpstr>ecc</vt:lpstr>
      <vt:lpstr>focus</vt:lpstr>
      <vt:lpstr>focus_d</vt:lpstr>
      <vt:lpstr>focus2</vt:lpstr>
      <vt:lpstr>x1_</vt:lpstr>
      <vt:lpstr>x1_eq</vt:lpstr>
      <vt:lpstr>x2_</vt:lpstr>
      <vt:lpstr>x2_eq</vt:lpstr>
      <vt:lpstr>y_2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</dc:creator>
  <cp:lastModifiedBy>Maxwell</cp:lastModifiedBy>
  <dcterms:created xsi:type="dcterms:W3CDTF">2015-04-30T15:32:41Z</dcterms:created>
  <dcterms:modified xsi:type="dcterms:W3CDTF">2015-11-01T16:03:01Z</dcterms:modified>
</cp:coreProperties>
</file>