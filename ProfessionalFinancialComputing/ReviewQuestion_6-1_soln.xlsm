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8800" windowHeight="14400"/>
  </bookViews>
  <sheets>
    <sheet name="Implied Volatility" sheetId="1" r:id="rId1"/>
  </sheets>
  <definedNames>
    <definedName name="assetPrice">'Implied Volatility'!$C$2</definedName>
    <definedName name="hsVol">'Implied Volatility'!$C$4</definedName>
    <definedName name="nMaturity">'Implied Volatility'!$C$8</definedName>
    <definedName name="npoint">'Implied Volatility'!$C$10</definedName>
    <definedName name="nStrike">'Implied Volatility'!$C$9</definedName>
    <definedName name="prec">'Implied Volatility'!$C$5</definedName>
    <definedName name="riskFree">'Implied Volatility'!$C$3</definedName>
  </definedNames>
  <calcPr calcId="152511"/>
</workbook>
</file>

<file path=xl/calcChain.xml><?xml version="1.0" encoding="utf-8"?>
<calcChain xmlns="http://schemas.openxmlformats.org/spreadsheetml/2006/main">
  <c r="C9" i="1" l="1"/>
  <c r="M2" i="1"/>
  <c r="K2" i="1"/>
  <c r="C8" i="1"/>
  <c r="I2" i="1"/>
  <c r="G2" i="1"/>
</calcChain>
</file>

<file path=xl/sharedStrings.xml><?xml version="1.0" encoding="utf-8"?>
<sst xmlns="http://schemas.openxmlformats.org/spreadsheetml/2006/main" count="57" uniqueCount="18">
  <si>
    <t>Asset Price</t>
  </si>
  <si>
    <t>Riskfree Rate</t>
  </si>
  <si>
    <t>Historical Volatility</t>
  </si>
  <si>
    <t>Precision</t>
  </si>
  <si>
    <t>Strikes \ Maturities</t>
  </si>
  <si>
    <t>(years)</t>
  </si>
  <si>
    <t>call</t>
  </si>
  <si>
    <t>Market Option Prices</t>
  </si>
  <si>
    <t>Implied Volatilities</t>
  </si>
  <si>
    <t>Number of Maturity Terms</t>
  </si>
  <si>
    <t>Number of Strike Prices</t>
  </si>
  <si>
    <t>T Contours</t>
  </si>
  <si>
    <t>Interpolation :</t>
  </si>
  <si>
    <t>Maturity</t>
  </si>
  <si>
    <t>Strike</t>
  </si>
  <si>
    <t>T Contours :</t>
  </si>
  <si>
    <t>Number of Internal points</t>
  </si>
  <si>
    <t>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</si>
</sst>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90" formatCode="0.0%"/>
    <numFmt numFmtId="197" formatCode="0.000"/>
    <numFmt numFmtId="199" formatCode="0.0000%"/>
  </numFmts>
  <fonts count="9">
    <font>
      <sz val="10"/>
      <name val="Arial"/>
      <charset val="136"/>
    </font>
    <font>
      <sz val="10"/>
      <name val="Arial"/>
      <charset val="136"/>
    </font>
    <font>
      <sz val="8"/>
      <name val="Arial"/>
      <family val="2"/>
    </font>
    <font>
      <sz val="10"/>
      <name val="Arial"/>
      <family val="2"/>
    </font>
    <font>
      <sz val="16"/>
      <name val="ＭＳ Ｐゴシック"/>
      <family val="2"/>
      <scheme val="minor"/>
    </font>
    <font>
      <sz val="10"/>
      <name val="ＭＳ Ｐゴシック"/>
      <family val="2"/>
      <scheme val="minor"/>
    </font>
    <font>
      <b/>
      <sz val="11"/>
      <name val="ＭＳ Ｐゴシック"/>
      <family val="2"/>
      <scheme val="minor"/>
    </font>
    <font>
      <sz val="11"/>
      <name val="ＭＳ Ｐゴシック"/>
      <family val="2"/>
      <scheme val="minor"/>
    </font>
    <font>
      <b/>
      <sz val="10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left"/>
    </xf>
    <xf numFmtId="0" fontId="5" fillId="3" borderId="0" xfId="0" applyFont="1" applyFill="1"/>
    <xf numFmtId="0" fontId="5" fillId="0" borderId="0" xfId="0" applyFont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2" fontId="5" fillId="0" borderId="0" xfId="0" applyNumberFormat="1" applyFont="1" applyFill="1" applyBorder="1" applyAlignment="1">
      <alignment horizontal="center"/>
    </xf>
    <xf numFmtId="190" fontId="5" fillId="0" borderId="0" xfId="0" applyNumberFormat="1" applyFont="1" applyFill="1" applyBorder="1" applyAlignment="1">
      <alignment horizontal="center"/>
    </xf>
    <xf numFmtId="11" fontId="5" fillId="0" borderId="0" xfId="0" applyNumberFormat="1" applyFont="1" applyFill="1" applyAlignment="1">
      <alignment horizontal="center"/>
    </xf>
    <xf numFmtId="197" fontId="5" fillId="0" borderId="0" xfId="0" applyNumberFormat="1" applyFont="1"/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/>
    <xf numFmtId="10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2" borderId="0" xfId="0" applyNumberFormat="1" applyFont="1" applyFill="1" applyAlignment="1">
      <alignment horizontal="center"/>
    </xf>
    <xf numFmtId="2" fontId="5" fillId="3" borderId="0" xfId="0" applyNumberFormat="1" applyFont="1" applyFill="1" applyBorder="1" applyAlignment="1">
      <alignment horizontal="center"/>
    </xf>
    <xf numFmtId="199" fontId="5" fillId="3" borderId="0" xfId="1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3" borderId="0" xfId="0" applyNumberFormat="1" applyFill="1"/>
    <xf numFmtId="10" fontId="7" fillId="0" borderId="0" xfId="0" applyNumberFormat="1" applyFont="1"/>
    <xf numFmtId="0" fontId="6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3" fillId="3" borderId="1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8" fillId="3" borderId="0" xfId="0" applyFont="1" applyFill="1"/>
    <xf numFmtId="2" fontId="5" fillId="0" borderId="0" xfId="0" applyNumberFormat="1" applyFont="1"/>
    <xf numFmtId="0" fontId="5" fillId="0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2" fontId="5" fillId="0" borderId="0" xfId="0" applyNumberFormat="1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2" fontId="5" fillId="3" borderId="0" xfId="0" applyNumberFormat="1" applyFont="1" applyFill="1"/>
    <xf numFmtId="0" fontId="6" fillId="3" borderId="1" xfId="0" applyFont="1" applyFill="1" applyBorder="1" applyAlignment="1">
      <alignment horizontal="center"/>
    </xf>
  </cellXfs>
  <cellStyles count="2">
    <cellStyle name="パーセント" xfId="1" builtinId="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06451612903225"/>
          <c:y val="4.8109965635738834E-2"/>
          <c:w val="0.655241935483871"/>
          <c:h val="0.793814432989690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'Implied Volatility'!$G$31</c:f>
              <c:strCache>
                <c:ptCount val="1"/>
                <c:pt idx="0">
                  <c:v>0.08</c:v>
                </c:pt>
              </c:strCache>
            </c:strRef>
          </c:tx>
          <c:spPr>
            <a:ln w="19050">
              <a:solidFill>
                <a:srgbClr val="4F81BD"/>
              </a:solidFill>
            </a:ln>
          </c:spPr>
          <c:marker>
            <c:symbol val="none"/>
          </c:marke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Volatility'!$G$32:$G$201</c:f>
              <c:numCache>
                <c:formatCode>0.00%</c:formatCode>
                <c:ptCount val="170"/>
                <c:pt idx="0">
                  <c:v>0.60300452409507432</c:v>
                </c:pt>
                <c:pt idx="1">
                  <c:v>0.56769307555205784</c:v>
                </c:pt>
                <c:pt idx="2">
                  <c:v>0.53492860869827108</c:v>
                </c:pt>
                <c:pt idx="3">
                  <c:v>0.50460455018810801</c:v>
                </c:pt>
                <c:pt idx="4">
                  <c:v>0.47661994506922162</c:v>
                </c:pt>
                <c:pt idx="5">
                  <c:v>0.45087909034455037</c:v>
                </c:pt>
                <c:pt idx="6">
                  <c:v>0.42729119708995422</c:v>
                </c:pt>
                <c:pt idx="7">
                  <c:v>0.40577007854262387</c:v>
                </c:pt>
                <c:pt idx="8">
                  <c:v>0.38623386184138447</c:v>
                </c:pt>
                <c:pt idx="9">
                  <c:v>0.3686047213353828</c:v>
                </c:pt>
                <c:pt idx="10">
                  <c:v>0.35280863158631187</c:v>
                </c:pt>
                <c:pt idx="11">
                  <c:v>0.33877513837462697</c:v>
                </c:pt>
                <c:pt idx="12">
                  <c:v>0.32643714618502978</c:v>
                </c:pt>
                <c:pt idx="13">
                  <c:v>0.31573072079334386</c:v>
                </c:pt>
                <c:pt idx="14">
                  <c:v>0.30659490570792713</c:v>
                </c:pt>
                <c:pt idx="15">
                  <c:v>0.29897155133586151</c:v>
                </c:pt>
                <c:pt idx="16">
                  <c:v>0.29280515584894856</c:v>
                </c:pt>
                <c:pt idx="17">
                  <c:v>0.28804271681845911</c:v>
                </c:pt>
                <c:pt idx="18">
                  <c:v>0.28463359277187128</c:v>
                </c:pt>
                <c:pt idx="19">
                  <c:v>0.28252937390058563</c:v>
                </c:pt>
                <c:pt idx="20">
                  <c:v>0.28168376121577093</c:v>
                </c:pt>
                <c:pt idx="21">
                  <c:v>0.28205245351091773</c:v>
                </c:pt>
                <c:pt idx="22">
                  <c:v>0.28359304154509379</c:v>
                </c:pt>
                <c:pt idx="23">
                  <c:v>0.28626490891094897</c:v>
                </c:pt>
                <c:pt idx="24">
                  <c:v>0.29002913909678935</c:v>
                </c:pt>
                <c:pt idx="25">
                  <c:v>0.29484842829302987</c:v>
                </c:pt>
                <c:pt idx="26">
                  <c:v>0.30068700353048949</c:v>
                </c:pt>
                <c:pt idx="27">
                  <c:v>0.30751054577171333</c:v>
                </c:pt>
                <c:pt idx="28">
                  <c:v>0.31528611760713771</c:v>
                </c:pt>
                <c:pt idx="29">
                  <c:v>0.3239820952357747</c:v>
                </c:pt>
                <c:pt idx="30">
                  <c:v>0.33356810443545454</c:v>
                </c:pt>
                <c:pt idx="31">
                  <c:v>0.34401496025077738</c:v>
                </c:pt>
                <c:pt idx="32">
                  <c:v>0.35529461014801539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'Implied Volatility'!$I$31</c:f>
              <c:strCache>
                <c:ptCount val="1"/>
                <c:pt idx="0">
                  <c:v>0.25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Volatility'!$I$32:$I$201</c:f>
              <c:numCache>
                <c:formatCode>0.00%</c:formatCode>
                <c:ptCount val="170"/>
                <c:pt idx="0">
                  <c:v>0.49422738360159113</c:v>
                </c:pt>
                <c:pt idx="1">
                  <c:v>0.46063068386827266</c:v>
                </c:pt>
                <c:pt idx="2">
                  <c:v>0.4295783281746165</c:v>
                </c:pt>
                <c:pt idx="3">
                  <c:v>0.40096347112289549</c:v>
                </c:pt>
                <c:pt idx="4">
                  <c:v>0.3746849081359882</c:v>
                </c:pt>
                <c:pt idx="5">
                  <c:v>0.35064670726026725</c:v>
                </c:pt>
                <c:pt idx="6">
                  <c:v>0.32875786967635129</c:v>
                </c:pt>
                <c:pt idx="7">
                  <c:v>0.30893201631811212</c:v>
                </c:pt>
                <c:pt idx="8">
                  <c:v>0.29108709826789181</c:v>
                </c:pt>
                <c:pt idx="9">
                  <c:v>0.27514512883265102</c:v>
                </c:pt>
                <c:pt idx="10">
                  <c:v>0.26103193541567571</c:v>
                </c:pt>
                <c:pt idx="11">
                  <c:v>0.24867692948487158</c:v>
                </c:pt>
                <c:pt idx="12">
                  <c:v>0.23801289310446094</c:v>
                </c:pt>
                <c:pt idx="13">
                  <c:v>0.228975780644607</c:v>
                </c:pt>
                <c:pt idx="14">
                  <c:v>0.22150453441527479</c:v>
                </c:pt>
                <c:pt idx="15">
                  <c:v>0.21554091308841355</c:v>
                </c:pt>
                <c:pt idx="16">
                  <c:v>0.21102933187793466</c:v>
                </c:pt>
                <c:pt idx="17">
                  <c:v>0.20791671354142074</c:v>
                </c:pt>
                <c:pt idx="18">
                  <c:v>0.20615234935226753</c:v>
                </c:pt>
                <c:pt idx="19">
                  <c:v>0.20568776926714488</c:v>
                </c:pt>
                <c:pt idx="20">
                  <c:v>0.2064766205822133</c:v>
                </c:pt>
                <c:pt idx="21">
                  <c:v>0.20847455443330293</c:v>
                </c:pt>
                <c:pt idx="22">
                  <c:v>0.21163911955098533</c:v>
                </c:pt>
                <c:pt idx="23">
                  <c:v>0.21592966273180472</c:v>
                </c:pt>
                <c:pt idx="24">
                  <c:v>0.22130723553245574</c:v>
                </c:pt>
                <c:pt idx="25">
                  <c:v>0.22773450673490947</c:v>
                </c:pt>
                <c:pt idx="26">
                  <c:v>0.23517568016785084</c:v>
                </c:pt>
                <c:pt idx="27">
                  <c:v>0.2435964175036906</c:v>
                </c:pt>
                <c:pt idx="28">
                  <c:v>0.25296376568121831</c:v>
                </c:pt>
                <c:pt idx="29">
                  <c:v>0.2632460886319668</c:v>
                </c:pt>
                <c:pt idx="30">
                  <c:v>0.27441300301386246</c:v>
                </c:pt>
                <c:pt idx="31">
                  <c:v>0.28643531767897068</c:v>
                </c:pt>
                <c:pt idx="32">
                  <c:v>0.29928497662334247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'Implied Volatility'!$K$31</c:f>
              <c:strCache>
                <c:ptCount val="1"/>
                <c:pt idx="0">
                  <c:v>0.50</c:v>
                </c:pt>
              </c:strCache>
            </c:strRef>
          </c:tx>
          <c:spPr>
            <a:ln w="19050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Volatility'!$K$32:$K$201</c:f>
              <c:numCache>
                <c:formatCode>0.00%</c:formatCode>
                <c:ptCount val="170"/>
                <c:pt idx="0">
                  <c:v>0.42724885107502847</c:v>
                </c:pt>
                <c:pt idx="1">
                  <c:v>0.39912000594110547</c:v>
                </c:pt>
                <c:pt idx="2">
                  <c:v>0.37309832323917258</c:v>
                </c:pt>
                <c:pt idx="3">
                  <c:v>0.34909538574757731</c:v>
                </c:pt>
                <c:pt idx="4">
                  <c:v>0.32702744270022377</c:v>
                </c:pt>
                <c:pt idx="5">
                  <c:v>0.30681510524343342</c:v>
                </c:pt>
                <c:pt idx="6">
                  <c:v>0.28838306563490979</c:v>
                </c:pt>
                <c:pt idx="7">
                  <c:v>0.27165983803504584</c:v>
                </c:pt>
                <c:pt idx="8">
                  <c:v>0.25657751896206105</c:v>
                </c:pt>
                <c:pt idx="9">
                  <c:v>0.24307156567823934</c:v>
                </c:pt>
                <c:pt idx="10">
                  <c:v>0.23108059094811828</c:v>
                </c:pt>
                <c:pt idx="11">
                  <c:v>0.22054617276360819</c:v>
                </c:pt>
                <c:pt idx="12">
                  <c:v>0.21141267776812508</c:v>
                </c:pt>
                <c:pt idx="13">
                  <c:v>0.20362709723395753</c:v>
                </c:pt>
                <c:pt idx="14">
                  <c:v>0.19713889455607153</c:v>
                </c:pt>
                <c:pt idx="15">
                  <c:v>0.19189986332294462</c:v>
                </c:pt>
                <c:pt idx="16">
                  <c:v>0.18786399511217783</c:v>
                </c:pt>
                <c:pt idx="17">
                  <c:v>0.1849873562367442</c:v>
                </c:pt>
                <c:pt idx="18">
                  <c:v>0.18322797273783442</c:v>
                </c:pt>
                <c:pt idx="19">
                  <c:v>0.18254572298325814</c:v>
                </c:pt>
                <c:pt idx="20">
                  <c:v>0.18290223728705171</c:v>
                </c:pt>
                <c:pt idx="21">
                  <c:v>0.18426080401702297</c:v>
                </c:pt>
                <c:pt idx="22">
                  <c:v>0.18658628170304736</c:v>
                </c:pt>
                <c:pt idx="23">
                  <c:v>0.18984501670055595</c:v>
                </c:pt>
                <c:pt idx="24">
                  <c:v>0.19400476600130068</c:v>
                </c:pt>
                <c:pt idx="25">
                  <c:v>0.19903462481756817</c:v>
                </c:pt>
                <c:pt idx="26">
                  <c:v>0.20490495859690727</c:v>
                </c:pt>
                <c:pt idx="27">
                  <c:v>0.21158733915247729</c:v>
                </c:pt>
                <c:pt idx="28">
                  <c:v>0.21905448461958998</c:v>
                </c:pt>
                <c:pt idx="29">
                  <c:v>0.22728020297218612</c:v>
                </c:pt>
                <c:pt idx="30">
                  <c:v>0.2362393388540758</c:v>
                </c:pt>
                <c:pt idx="31">
                  <c:v>0.24590772349898593</c:v>
                </c:pt>
                <c:pt idx="32">
                  <c:v>0.25626212753099242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'Implied Volatility'!$M$31</c:f>
              <c:strCache>
                <c:ptCount val="1"/>
                <c:pt idx="0">
                  <c:v>0.75</c:v>
                </c:pt>
              </c:strCache>
            </c:strRef>
          </c:tx>
          <c:spPr>
            <a:ln w="19050"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Volatility'!$M$32:$M$201</c:f>
              <c:numCache>
                <c:formatCode>0.00%</c:formatCode>
                <c:ptCount val="170"/>
                <c:pt idx="0">
                  <c:v>0.40427630184495361</c:v>
                </c:pt>
                <c:pt idx="1">
                  <c:v>0.37657869826224449</c:v>
                </c:pt>
                <c:pt idx="2">
                  <c:v>0.35094492312849673</c:v>
                </c:pt>
                <c:pt idx="3">
                  <c:v>0.32728841108062429</c:v>
                </c:pt>
                <c:pt idx="4">
                  <c:v>0.3055271647669584</c:v>
                </c:pt>
                <c:pt idx="5">
                  <c:v>0.28558345675469304</c:v>
                </c:pt>
                <c:pt idx="6">
                  <c:v>0.26738355467522007</c:v>
                </c:pt>
                <c:pt idx="7">
                  <c:v>0.25085746750334031</c:v>
                </c:pt>
                <c:pt idx="8">
                  <c:v>0.23593871108285908</c:v>
                </c:pt>
                <c:pt idx="9">
                  <c:v>0.22256409120269607</c:v>
                </c:pt>
                <c:pt idx="10">
                  <c:v>0.21067350269751303</c:v>
                </c:pt>
                <c:pt idx="11">
                  <c:v>0.20020974319771812</c:v>
                </c:pt>
                <c:pt idx="12">
                  <c:v>0.1911183402878833</c:v>
                </c:pt>
                <c:pt idx="13">
                  <c:v>0.18334739095215077</c:v>
                </c:pt>
                <c:pt idx="14">
                  <c:v>0.17684741229186651</c:v>
                </c:pt>
                <c:pt idx="15">
                  <c:v>0.1715712025959954</c:v>
                </c:pt>
                <c:pt idx="16">
                  <c:v>0.16747371193017191</c:v>
                </c:pt>
                <c:pt idx="17">
                  <c:v>0.16451192148669147</c:v>
                </c:pt>
                <c:pt idx="18">
                  <c:v>0.16264473100635418</c:v>
                </c:pt>
                <c:pt idx="19">
                  <c:v>0.16183285364473457</c:v>
                </c:pt>
                <c:pt idx="20">
                  <c:v>0.16203871771093389</c:v>
                </c:pt>
                <c:pt idx="21">
                  <c:v>0.16322637475686697</c:v>
                </c:pt>
                <c:pt idx="22">
                  <c:v>0.16536141354023839</c:v>
                </c:pt>
                <c:pt idx="23">
                  <c:v>0.16841087942510505</c:v>
                </c:pt>
                <c:pt idx="24">
                  <c:v>0.17234319882076501</c:v>
                </c:pt>
                <c:pt idx="25">
                  <c:v>0.17712810829307588</c:v>
                </c:pt>
                <c:pt idx="26">
                  <c:v>0.1827365880125417</c:v>
                </c:pt>
                <c:pt idx="27">
                  <c:v>0.18914079923095442</c:v>
                </c:pt>
                <c:pt idx="28">
                  <c:v>0.19631402550329996</c:v>
                </c:pt>
                <c:pt idx="29">
                  <c:v>0.20423061739431547</c:v>
                </c:pt>
                <c:pt idx="30">
                  <c:v>0.21286594042972429</c:v>
                </c:pt>
                <c:pt idx="31">
                  <c:v>0.22219632607098028</c:v>
                </c:pt>
                <c:pt idx="32">
                  <c:v>0.23219902550951968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'Implied Volatility'!$O$31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Volatility'!$O$32:$O$201</c:f>
              <c:numCache>
                <c:formatCode>0.00%</c:formatCode>
                <c:ptCount val="170"/>
              </c:numCache>
            </c:numRef>
          </c:yVal>
          <c:smooth val="0"/>
        </c:ser>
        <c:ser>
          <c:idx val="5"/>
          <c:order val="5"/>
          <c:tx>
            <c:strRef>
              <c:f>'Implied Volatility'!$Q$31</c:f>
              <c:strCache>
                <c:ptCount val="1"/>
              </c:strCache>
            </c:strRef>
          </c:tx>
          <c:spPr>
            <a:ln w="28575">
              <a:noFill/>
            </a:ln>
          </c:spPr>
          <c:xVal>
            <c:numRef>
              <c:f>'Implied Volatility'!$F$32:$F$201</c:f>
              <c:numCache>
                <c:formatCode>0.00</c:formatCode>
                <c:ptCount val="170"/>
                <c:pt idx="0">
                  <c:v>80</c:v>
                </c:pt>
                <c:pt idx="1">
                  <c:v>81.25</c:v>
                </c:pt>
                <c:pt idx="2">
                  <c:v>82.5</c:v>
                </c:pt>
                <c:pt idx="3">
                  <c:v>83.75</c:v>
                </c:pt>
                <c:pt idx="4">
                  <c:v>85</c:v>
                </c:pt>
                <c:pt idx="5">
                  <c:v>86.25</c:v>
                </c:pt>
                <c:pt idx="6">
                  <c:v>87.5</c:v>
                </c:pt>
                <c:pt idx="7">
                  <c:v>88.75</c:v>
                </c:pt>
                <c:pt idx="8">
                  <c:v>90</c:v>
                </c:pt>
                <c:pt idx="9">
                  <c:v>91.25</c:v>
                </c:pt>
                <c:pt idx="10">
                  <c:v>92.5</c:v>
                </c:pt>
                <c:pt idx="11">
                  <c:v>93.75</c:v>
                </c:pt>
                <c:pt idx="12">
                  <c:v>95</c:v>
                </c:pt>
                <c:pt idx="13">
                  <c:v>96.25</c:v>
                </c:pt>
                <c:pt idx="14">
                  <c:v>97.5</c:v>
                </c:pt>
                <c:pt idx="15">
                  <c:v>98.75</c:v>
                </c:pt>
                <c:pt idx="16">
                  <c:v>100</c:v>
                </c:pt>
                <c:pt idx="17">
                  <c:v>101.25</c:v>
                </c:pt>
                <c:pt idx="18">
                  <c:v>102.5</c:v>
                </c:pt>
                <c:pt idx="19">
                  <c:v>103.75</c:v>
                </c:pt>
                <c:pt idx="20">
                  <c:v>105</c:v>
                </c:pt>
                <c:pt idx="21">
                  <c:v>106.25</c:v>
                </c:pt>
                <c:pt idx="22">
                  <c:v>107.5</c:v>
                </c:pt>
                <c:pt idx="23">
                  <c:v>108.75</c:v>
                </c:pt>
                <c:pt idx="24">
                  <c:v>110</c:v>
                </c:pt>
                <c:pt idx="25">
                  <c:v>111.25</c:v>
                </c:pt>
                <c:pt idx="26">
                  <c:v>112.5</c:v>
                </c:pt>
                <c:pt idx="27">
                  <c:v>113.75</c:v>
                </c:pt>
                <c:pt idx="28">
                  <c:v>115</c:v>
                </c:pt>
                <c:pt idx="29">
                  <c:v>116.25</c:v>
                </c:pt>
                <c:pt idx="30">
                  <c:v>117.5</c:v>
                </c:pt>
                <c:pt idx="31">
                  <c:v>118.75</c:v>
                </c:pt>
                <c:pt idx="32">
                  <c:v>120</c:v>
                </c:pt>
              </c:numCache>
            </c:numRef>
          </c:xVal>
          <c:yVal>
            <c:numRef>
              <c:f>'Implied Volatility'!$Q$32:$Q$201</c:f>
              <c:numCache>
                <c:formatCode>0.00%</c:formatCode>
                <c:ptCount val="17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21856"/>
        <c:axId val="637522248"/>
      </c:scatterChart>
      <c:valAx>
        <c:axId val="637521856"/>
        <c:scaling>
          <c:orientation val="minMax"/>
          <c:max val="130"/>
          <c:min val="70"/>
        </c:scaling>
        <c:delete val="0"/>
        <c:axPos val="b"/>
        <c:numFmt formatCode="0.00" sourceLinked="1"/>
        <c:majorTickMark val="out"/>
        <c:minorTickMark val="out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ja-JP"/>
          </a:p>
        </c:txPr>
        <c:crossAx val="637522248"/>
        <c:crosses val="autoZero"/>
        <c:crossBetween val="midCat"/>
        <c:majorUnit val="10"/>
        <c:minorUnit val="5"/>
      </c:valAx>
      <c:valAx>
        <c:axId val="6375222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 w="12700">
            <a:solidFill>
              <a:sysClr val="windowText" lastClr="000000">
                <a:lumMod val="65000"/>
                <a:lumOff val="35000"/>
              </a:sys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ja-JP"/>
          </a:p>
        </c:txPr>
        <c:crossAx val="637521856"/>
        <c:crosses val="autoZero"/>
        <c:crossBetween val="midCat"/>
      </c:valAx>
      <c:spPr>
        <a:noFill/>
        <a:ln>
          <a:solidFill>
            <a:sysClr val="windowText" lastClr="000000">
              <a:lumMod val="65000"/>
              <a:lumOff val="35000"/>
            </a:sysClr>
          </a:solidFill>
        </a:ln>
      </c:spPr>
    </c:plotArea>
    <c:legend>
      <c:legendPos val="r"/>
      <c:layout>
        <c:manualLayout>
          <c:xMode val="edge"/>
          <c:yMode val="edge"/>
          <c:x val="0.85073596647193284"/>
          <c:y val="0.2488484815686699"/>
          <c:w val="0.13259736686140033"/>
          <c:h val="0.47915505407184933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ja-JP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9525</xdr:rowOff>
    </xdr:from>
    <xdr:to>
      <xdr:col>5</xdr:col>
      <xdr:colOff>0</xdr:colOff>
      <xdr:row>44</xdr:row>
      <xdr:rowOff>28575</xdr:rowOff>
    </xdr:to>
    <xdr:graphicFrame macro="">
      <xdr:nvGraphicFramePr>
        <xdr:cNvPr id="1103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13</xdr:row>
          <xdr:rowOff>9525</xdr:rowOff>
        </xdr:from>
        <xdr:to>
          <xdr:col>17</xdr:col>
          <xdr:colOff>180975</xdr:colOff>
          <xdr:row>15</xdr:row>
          <xdr:rowOff>28575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Implied Volatilities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28</xdr:row>
          <xdr:rowOff>104775</xdr:rowOff>
        </xdr:from>
        <xdr:to>
          <xdr:col>16</xdr:col>
          <xdr:colOff>457200</xdr:colOff>
          <xdr:row>30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T-Contour of Volatility Skew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14</xdr:row>
          <xdr:rowOff>66675</xdr:rowOff>
        </xdr:from>
        <xdr:to>
          <xdr:col>4</xdr:col>
          <xdr:colOff>914400</xdr:colOff>
          <xdr:row>16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Interpolate Implied Volatility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1"/>
  <sheetViews>
    <sheetView tabSelected="1" workbookViewId="0">
      <selection activeCell="W32" sqref="W32"/>
    </sheetView>
  </sheetViews>
  <sheetFormatPr defaultRowHeight="12.75"/>
  <cols>
    <col min="1" max="1" width="5" customWidth="1"/>
    <col min="2" max="2" width="25.28515625" customWidth="1"/>
    <col min="3" max="3" width="12.7109375" customWidth="1"/>
    <col min="4" max="4" width="8.7109375" customWidth="1"/>
    <col min="5" max="5" width="19.140625" customWidth="1"/>
    <col min="6" max="6" width="19.7109375" style="1" customWidth="1"/>
    <col min="7" max="7" width="11.140625" style="1" customWidth="1"/>
    <col min="8" max="8" width="5.5703125" style="1" customWidth="1"/>
    <col min="9" max="9" width="11.5703125" bestFit="1" customWidth="1"/>
    <col min="10" max="10" width="4.85546875" customWidth="1"/>
    <col min="11" max="11" width="11.5703125" bestFit="1" customWidth="1"/>
    <col min="12" max="12" width="5.42578125" customWidth="1"/>
    <col min="13" max="13" width="11.5703125" bestFit="1" customWidth="1"/>
    <col min="14" max="14" width="5.28515625" customWidth="1"/>
    <col min="16" max="16" width="5.42578125" customWidth="1"/>
    <col min="18" max="18" width="6.28515625" customWidth="1"/>
  </cols>
  <sheetData>
    <row r="1" spans="1:20" s="4" customFormat="1" ht="20.25" customHeight="1">
      <c r="A1" s="3"/>
      <c r="B1" s="3"/>
      <c r="C1" s="3"/>
      <c r="D1" s="3"/>
      <c r="E1" s="3"/>
      <c r="F1" s="2" t="s">
        <v>7</v>
      </c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s="4" customFormat="1" ht="13.5">
      <c r="A2" s="3"/>
      <c r="B2" s="3" t="s">
        <v>0</v>
      </c>
      <c r="C2" s="7">
        <v>100</v>
      </c>
      <c r="D2" s="3"/>
      <c r="E2" s="3"/>
      <c r="F2" s="11" t="s">
        <v>4</v>
      </c>
      <c r="G2" s="18">
        <f>1/12</f>
        <v>8.3333333333333329E-2</v>
      </c>
      <c r="H2" s="18"/>
      <c r="I2" s="18">
        <f>3/12</f>
        <v>0.25</v>
      </c>
      <c r="J2" s="18"/>
      <c r="K2" s="18">
        <f>6/12</f>
        <v>0.5</v>
      </c>
      <c r="L2" s="18"/>
      <c r="M2" s="18">
        <f>9/12</f>
        <v>0.75</v>
      </c>
      <c r="N2" s="18"/>
      <c r="O2" s="18"/>
      <c r="P2" s="18"/>
      <c r="Q2" s="18"/>
      <c r="R2" s="18"/>
      <c r="S2" s="18" t="s">
        <v>5</v>
      </c>
      <c r="T2" s="6"/>
    </row>
    <row r="3" spans="1:20" s="4" customFormat="1" ht="13.5">
      <c r="A3" s="3"/>
      <c r="B3" s="3" t="s">
        <v>1</v>
      </c>
      <c r="C3" s="8">
        <v>0.05</v>
      </c>
      <c r="D3" s="3"/>
      <c r="E3" s="3"/>
      <c r="F3" s="12">
        <v>80</v>
      </c>
      <c r="G3" s="17">
        <v>21</v>
      </c>
      <c r="H3" s="14" t="s">
        <v>6</v>
      </c>
      <c r="I3" s="17">
        <v>23</v>
      </c>
      <c r="J3" s="14" t="s">
        <v>6</v>
      </c>
      <c r="K3" s="17">
        <v>25</v>
      </c>
      <c r="L3" s="14" t="s">
        <v>6</v>
      </c>
      <c r="M3" s="17">
        <v>27</v>
      </c>
      <c r="N3" s="14" t="s">
        <v>6</v>
      </c>
      <c r="O3" s="17"/>
      <c r="P3" s="14"/>
      <c r="Q3" s="17"/>
      <c r="R3" s="14"/>
      <c r="S3" s="18"/>
      <c r="T3" s="6"/>
    </row>
    <row r="4" spans="1:20" s="4" customFormat="1" ht="13.5">
      <c r="A4" s="3"/>
      <c r="B4" s="3" t="s">
        <v>2</v>
      </c>
      <c r="C4" s="8">
        <v>0.3</v>
      </c>
      <c r="D4" s="3"/>
      <c r="E4" s="3"/>
      <c r="F4" s="12">
        <v>85</v>
      </c>
      <c r="G4" s="17">
        <v>16</v>
      </c>
      <c r="H4" s="14" t="s">
        <v>6</v>
      </c>
      <c r="I4" s="17">
        <v>17.5</v>
      </c>
      <c r="J4" s="14" t="s">
        <v>6</v>
      </c>
      <c r="K4" s="17">
        <v>19.5</v>
      </c>
      <c r="L4" s="14" t="s">
        <v>6</v>
      </c>
      <c r="M4" s="17">
        <v>21</v>
      </c>
      <c r="N4" s="14" t="s">
        <v>6</v>
      </c>
      <c r="O4" s="17"/>
      <c r="P4" s="14"/>
      <c r="Q4" s="17"/>
      <c r="R4" s="14"/>
      <c r="S4" s="18"/>
      <c r="T4" s="6"/>
    </row>
    <row r="5" spans="1:20" s="4" customFormat="1" ht="13.5">
      <c r="A5" s="3"/>
      <c r="B5" s="3" t="s">
        <v>3</v>
      </c>
      <c r="C5" s="9">
        <v>1E-8</v>
      </c>
      <c r="D5" s="3"/>
      <c r="E5" s="3"/>
      <c r="F5" s="12">
        <v>90</v>
      </c>
      <c r="G5" s="17">
        <v>11.5</v>
      </c>
      <c r="H5" s="14" t="s">
        <v>6</v>
      </c>
      <c r="I5" s="17">
        <v>13</v>
      </c>
      <c r="J5" s="14" t="s">
        <v>6</v>
      </c>
      <c r="K5" s="17">
        <v>15</v>
      </c>
      <c r="L5" s="14" t="s">
        <v>6</v>
      </c>
      <c r="M5" s="17">
        <v>16.5</v>
      </c>
      <c r="N5" s="14" t="s">
        <v>6</v>
      </c>
      <c r="O5" s="17"/>
      <c r="P5" s="14"/>
      <c r="Q5" s="17"/>
      <c r="R5" s="14"/>
      <c r="S5" s="18"/>
      <c r="T5" s="6"/>
    </row>
    <row r="6" spans="1:20" s="4" customFormat="1" ht="13.5">
      <c r="A6" s="3"/>
      <c r="B6" s="3"/>
      <c r="C6" s="3"/>
      <c r="D6" s="3"/>
      <c r="E6" s="3"/>
      <c r="F6" s="12">
        <v>95</v>
      </c>
      <c r="G6" s="17">
        <v>7</v>
      </c>
      <c r="H6" s="14" t="s">
        <v>6</v>
      </c>
      <c r="I6" s="17">
        <v>8.5</v>
      </c>
      <c r="J6" s="14" t="s">
        <v>6</v>
      </c>
      <c r="K6" s="17">
        <v>10</v>
      </c>
      <c r="L6" s="14" t="s">
        <v>6</v>
      </c>
      <c r="M6" s="17">
        <v>11.5</v>
      </c>
      <c r="N6" s="14" t="s">
        <v>6</v>
      </c>
      <c r="O6" s="17"/>
      <c r="P6" s="14"/>
      <c r="Q6" s="17"/>
      <c r="R6" s="14"/>
      <c r="S6" s="18"/>
      <c r="T6" s="6"/>
    </row>
    <row r="7" spans="1:20" s="4" customFormat="1" ht="13.5">
      <c r="A7" s="3"/>
      <c r="B7" s="32" t="s">
        <v>15</v>
      </c>
      <c r="C7" s="19"/>
      <c r="D7" s="3"/>
      <c r="E7" s="3"/>
      <c r="F7" s="12">
        <v>100</v>
      </c>
      <c r="G7" s="17">
        <v>3.5</v>
      </c>
      <c r="H7" s="14" t="s">
        <v>6</v>
      </c>
      <c r="I7" s="17">
        <v>4.5</v>
      </c>
      <c r="J7" s="14" t="s">
        <v>6</v>
      </c>
      <c r="K7" s="17">
        <v>6</v>
      </c>
      <c r="L7" s="14" t="s">
        <v>6</v>
      </c>
      <c r="M7" s="17">
        <v>7</v>
      </c>
      <c r="N7" s="14" t="s">
        <v>6</v>
      </c>
      <c r="O7" s="17"/>
      <c r="P7" s="14"/>
      <c r="Q7" s="17"/>
      <c r="R7" s="14"/>
      <c r="S7" s="18"/>
      <c r="T7" s="6"/>
    </row>
    <row r="8" spans="1:20" s="4" customFormat="1" ht="13.5">
      <c r="A8" s="3"/>
      <c r="B8" s="3" t="s">
        <v>9</v>
      </c>
      <c r="C8" s="21">
        <f>COUNTA(G2:R2)</f>
        <v>4</v>
      </c>
      <c r="D8" s="3"/>
      <c r="E8" s="3"/>
      <c r="F8" s="12">
        <v>105</v>
      </c>
      <c r="G8" s="17">
        <v>1.4</v>
      </c>
      <c r="H8" s="14" t="s">
        <v>6</v>
      </c>
      <c r="I8" s="17">
        <v>2.5</v>
      </c>
      <c r="J8" s="14" t="s">
        <v>6</v>
      </c>
      <c r="K8" s="17">
        <v>4.25</v>
      </c>
      <c r="L8" s="14" t="s">
        <v>6</v>
      </c>
      <c r="M8" s="17">
        <v>5</v>
      </c>
      <c r="N8" s="14" t="s">
        <v>6</v>
      </c>
      <c r="O8" s="17"/>
      <c r="P8" s="14"/>
      <c r="Q8" s="17"/>
      <c r="R8" s="14"/>
      <c r="S8" s="18"/>
      <c r="T8" s="6"/>
    </row>
    <row r="9" spans="1:20" s="4" customFormat="1" ht="13.5">
      <c r="A9" s="3"/>
      <c r="B9" s="3" t="s">
        <v>10</v>
      </c>
      <c r="C9" s="21">
        <f>COUNTA(F3:F12)</f>
        <v>9</v>
      </c>
      <c r="D9" s="3"/>
      <c r="E9" s="3"/>
      <c r="F9" s="12">
        <v>110</v>
      </c>
      <c r="G9" s="17">
        <v>0.5</v>
      </c>
      <c r="H9" s="14" t="s">
        <v>6</v>
      </c>
      <c r="I9" s="17">
        <v>1.5</v>
      </c>
      <c r="J9" s="14" t="s">
        <v>6</v>
      </c>
      <c r="K9" s="17">
        <v>2.95</v>
      </c>
      <c r="L9" s="14" t="s">
        <v>6</v>
      </c>
      <c r="M9" s="17">
        <v>4</v>
      </c>
      <c r="N9" s="14" t="s">
        <v>6</v>
      </c>
      <c r="O9" s="17"/>
      <c r="P9" s="14"/>
      <c r="Q9" s="17"/>
      <c r="R9" s="14"/>
      <c r="S9" s="18"/>
      <c r="T9" s="6"/>
    </row>
    <row r="10" spans="1:20" s="4" customFormat="1" ht="12.75" customHeight="1">
      <c r="A10" s="3"/>
      <c r="B10" s="3" t="s">
        <v>16</v>
      </c>
      <c r="C10" s="34">
        <v>3</v>
      </c>
      <c r="D10" s="3"/>
      <c r="E10" s="3"/>
      <c r="F10" s="12">
        <v>115</v>
      </c>
      <c r="G10" s="17">
        <v>0.35</v>
      </c>
      <c r="H10" s="14" t="s">
        <v>6</v>
      </c>
      <c r="I10" s="17">
        <v>1.25</v>
      </c>
      <c r="J10" s="14" t="s">
        <v>6</v>
      </c>
      <c r="K10" s="17">
        <v>2.25</v>
      </c>
      <c r="L10" s="14" t="s">
        <v>6</v>
      </c>
      <c r="M10" s="17">
        <v>3.25</v>
      </c>
      <c r="N10" s="14" t="s">
        <v>6</v>
      </c>
      <c r="O10" s="17"/>
      <c r="P10" s="14"/>
      <c r="Q10" s="17"/>
      <c r="R10" s="14"/>
      <c r="S10" s="18"/>
      <c r="T10" s="6"/>
    </row>
    <row r="11" spans="1:20" s="4" customFormat="1" ht="16.149999999999999" customHeight="1">
      <c r="A11" s="3"/>
      <c r="B11" s="3"/>
      <c r="C11" s="3"/>
      <c r="D11" s="3"/>
      <c r="E11" s="3"/>
      <c r="F11" s="12">
        <v>120</v>
      </c>
      <c r="G11" s="17">
        <v>0.2</v>
      </c>
      <c r="H11" s="14" t="s">
        <v>6</v>
      </c>
      <c r="I11" s="17">
        <v>1</v>
      </c>
      <c r="J11" s="14" t="s">
        <v>6</v>
      </c>
      <c r="K11" s="17">
        <v>2</v>
      </c>
      <c r="L11" s="14" t="s">
        <v>6</v>
      </c>
      <c r="M11" s="17">
        <v>2.75</v>
      </c>
      <c r="N11" s="14" t="s">
        <v>6</v>
      </c>
      <c r="O11" s="17"/>
      <c r="P11" s="14"/>
      <c r="Q11" s="17"/>
      <c r="R11" s="14"/>
      <c r="S11" s="18"/>
      <c r="T11" s="6"/>
    </row>
    <row r="12" spans="1:20" s="4" customFormat="1" ht="13.5">
      <c r="A12" s="3"/>
      <c r="B12" s="32" t="s">
        <v>12</v>
      </c>
      <c r="C12" s="20"/>
      <c r="D12" s="3"/>
      <c r="E12" s="3"/>
      <c r="F12" s="12"/>
      <c r="G12" s="17"/>
      <c r="H12" s="14"/>
      <c r="I12" s="17"/>
      <c r="J12" s="14"/>
      <c r="K12" s="17"/>
      <c r="L12" s="14"/>
      <c r="M12" s="17"/>
      <c r="N12" s="14"/>
      <c r="O12" s="17"/>
      <c r="P12" s="14"/>
      <c r="Q12" s="17"/>
      <c r="R12" s="14"/>
      <c r="S12" s="18"/>
      <c r="T12" s="6"/>
    </row>
    <row r="13" spans="1:20" s="4" customFormat="1" ht="13.5">
      <c r="A13" s="3"/>
      <c r="B13" s="3" t="s">
        <v>13</v>
      </c>
      <c r="C13" s="36">
        <v>0.75</v>
      </c>
      <c r="D13" s="3" t="s">
        <v>5</v>
      </c>
      <c r="E13" s="3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6"/>
    </row>
    <row r="14" spans="1:20" s="4" customFormat="1" ht="13.5">
      <c r="A14" s="3"/>
      <c r="B14" s="3" t="s">
        <v>14</v>
      </c>
      <c r="C14" s="37">
        <v>116.25</v>
      </c>
      <c r="D14" s="3"/>
      <c r="E14" s="3"/>
      <c r="F14" s="12"/>
      <c r="G14" s="12"/>
      <c r="H14" s="12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6"/>
    </row>
    <row r="15" spans="1:20" s="4" customFormat="1" ht="18.75">
      <c r="A15" s="3"/>
      <c r="B15" s="3" t="s">
        <v>17</v>
      </c>
      <c r="C15" s="35">
        <v>0.20423061739431442</v>
      </c>
      <c r="D15" s="3"/>
      <c r="E15" s="3"/>
      <c r="F15" s="2" t="s">
        <v>8</v>
      </c>
      <c r="G15" s="12"/>
      <c r="H15" s="12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6"/>
    </row>
    <row r="16" spans="1:20" s="4" customFormat="1" ht="13.5">
      <c r="A16" s="3"/>
      <c r="B16" s="3"/>
      <c r="C16" s="3"/>
      <c r="D16" s="3"/>
      <c r="E16" s="3"/>
      <c r="F16" s="11" t="s">
        <v>4</v>
      </c>
      <c r="G16" s="18">
        <v>8.3333333333333329E-2</v>
      </c>
      <c r="H16" s="18"/>
      <c r="I16" s="18">
        <v>0.25</v>
      </c>
      <c r="J16" s="18"/>
      <c r="K16" s="18">
        <v>0.5</v>
      </c>
      <c r="L16" s="18"/>
      <c r="M16" s="18">
        <v>0.75</v>
      </c>
      <c r="N16" s="18"/>
      <c r="O16" s="18"/>
      <c r="P16" s="18"/>
      <c r="Q16" s="18"/>
      <c r="R16" s="18"/>
      <c r="S16" s="18" t="s">
        <v>5</v>
      </c>
      <c r="T16" s="6"/>
    </row>
    <row r="17" spans="1:20" s="4" customFormat="1" ht="13.5">
      <c r="A17" s="3"/>
      <c r="B17" s="3"/>
      <c r="C17" s="3"/>
      <c r="D17" s="3"/>
      <c r="E17" s="3"/>
      <c r="F17" s="12">
        <v>80</v>
      </c>
      <c r="G17" s="16">
        <v>0.59619292129185475</v>
      </c>
      <c r="H17" s="14"/>
      <c r="I17" s="16">
        <v>0.49585039135613029</v>
      </c>
      <c r="J17" s="15"/>
      <c r="K17" s="16">
        <v>0.42479181360153118</v>
      </c>
      <c r="L17" s="15"/>
      <c r="M17" s="16">
        <v>0.40521818991755565</v>
      </c>
      <c r="N17" s="15"/>
      <c r="O17" s="27"/>
      <c r="P17" s="15"/>
      <c r="Q17" s="27"/>
      <c r="R17" s="15"/>
      <c r="S17" s="13"/>
      <c r="T17" s="6"/>
    </row>
    <row r="18" spans="1:20" s="4" customFormat="1" ht="13.5">
      <c r="A18" s="3"/>
      <c r="B18" s="3"/>
      <c r="C18" s="38"/>
      <c r="D18" s="3"/>
      <c r="E18" s="3"/>
      <c r="F18" s="12">
        <v>85</v>
      </c>
      <c r="G18" s="16">
        <v>0.46743623549842805</v>
      </c>
      <c r="H18" s="14"/>
      <c r="I18" s="16">
        <v>0.35998480200665495</v>
      </c>
      <c r="J18" s="15"/>
      <c r="K18" s="16">
        <v>0.32312163327352722</v>
      </c>
      <c r="L18" s="15"/>
      <c r="M18" s="16">
        <v>0.29595447339404674</v>
      </c>
      <c r="N18" s="15"/>
      <c r="O18" s="27"/>
      <c r="P18" s="15"/>
      <c r="Q18" s="27"/>
      <c r="R18" s="15"/>
      <c r="S18" s="13"/>
      <c r="T18" s="6"/>
    </row>
    <row r="19" spans="1:20" s="4" customFormat="1" ht="13.5">
      <c r="A19" s="3"/>
      <c r="B19" s="3"/>
      <c r="C19" s="3"/>
      <c r="D19" s="3"/>
      <c r="E19" s="3"/>
      <c r="F19" s="12">
        <v>90</v>
      </c>
      <c r="G19" s="16">
        <v>0.41742204955298867</v>
      </c>
      <c r="H19" s="14"/>
      <c r="I19" s="16">
        <v>0.31019324247370073</v>
      </c>
      <c r="J19" s="15"/>
      <c r="K19" s="16">
        <v>0.27732898321565663</v>
      </c>
      <c r="L19" s="15"/>
      <c r="M19" s="16">
        <v>0.25450573235876062</v>
      </c>
      <c r="N19" s="15"/>
      <c r="O19" s="27"/>
      <c r="P19" s="15"/>
      <c r="Q19" s="27"/>
      <c r="R19" s="15"/>
      <c r="S19" s="13"/>
      <c r="T19" s="6"/>
    </row>
    <row r="20" spans="1:20" s="4" customFormat="1" ht="13.5">
      <c r="C20" s="10"/>
      <c r="F20" s="12">
        <v>95</v>
      </c>
      <c r="G20" s="16">
        <v>0.32971471157337501</v>
      </c>
      <c r="H20" s="14"/>
      <c r="I20" s="16">
        <v>0.24797970750027293</v>
      </c>
      <c r="J20" s="15"/>
      <c r="K20" s="16">
        <v>0.20541379021406342</v>
      </c>
      <c r="L20" s="15"/>
      <c r="M20" s="16">
        <v>0.19292458698478288</v>
      </c>
      <c r="N20" s="15"/>
      <c r="O20" s="27"/>
      <c r="P20" s="15"/>
      <c r="Q20" s="27"/>
      <c r="R20" s="15"/>
      <c r="S20" s="13"/>
      <c r="T20" s="6"/>
    </row>
    <row r="21" spans="1:20" s="4" customFormat="1" ht="13.5">
      <c r="F21" s="12">
        <v>100</v>
      </c>
      <c r="G21" s="16">
        <v>0.28617341662175255</v>
      </c>
      <c r="H21" s="14"/>
      <c r="I21" s="16">
        <v>0.1941447741587857</v>
      </c>
      <c r="J21" s="15"/>
      <c r="K21" s="16">
        <v>0.1674293387218993</v>
      </c>
      <c r="L21" s="15"/>
      <c r="M21" s="16">
        <v>0.1458736521574896</v>
      </c>
      <c r="N21" s="15"/>
      <c r="O21" s="27"/>
      <c r="P21" s="15"/>
      <c r="Q21" s="27"/>
      <c r="R21" s="15"/>
      <c r="S21" s="13"/>
      <c r="T21" s="6"/>
    </row>
    <row r="22" spans="1:20" s="4" customFormat="1" ht="13.5">
      <c r="F22" s="12">
        <v>105</v>
      </c>
      <c r="G22" s="16">
        <v>0.26951480746491946</v>
      </c>
      <c r="H22" s="14"/>
      <c r="I22" s="16">
        <v>0.20116298342290947</v>
      </c>
      <c r="J22" s="15"/>
      <c r="K22" s="16">
        <v>0.18817741965062912</v>
      </c>
      <c r="L22" s="15"/>
      <c r="M22" s="16">
        <v>0.1598397306737305</v>
      </c>
      <c r="N22" s="15"/>
      <c r="O22" s="27"/>
      <c r="P22" s="15"/>
      <c r="Q22" s="27"/>
      <c r="R22" s="15"/>
      <c r="S22" s="13"/>
      <c r="T22" s="6"/>
    </row>
    <row r="23" spans="1:20" s="4" customFormat="1" ht="13.5">
      <c r="B23" s="33"/>
      <c r="F23" s="12">
        <v>110</v>
      </c>
      <c r="G23" s="16">
        <v>0.27214015639559297</v>
      </c>
      <c r="H23" s="14"/>
      <c r="I23" s="16">
        <v>0.22030626451826585</v>
      </c>
      <c r="J23" s="15"/>
      <c r="K23" s="16">
        <v>0.20168823123748642</v>
      </c>
      <c r="L23" s="15"/>
      <c r="M23" s="16">
        <v>0.18435289531111887</v>
      </c>
      <c r="N23" s="15"/>
      <c r="O23" s="27"/>
      <c r="P23" s="15"/>
      <c r="Q23" s="27"/>
      <c r="R23" s="15"/>
      <c r="S23" s="13"/>
      <c r="T23" s="6"/>
    </row>
    <row r="24" spans="1:20" s="4" customFormat="1" ht="13.5">
      <c r="F24" s="12">
        <v>115</v>
      </c>
      <c r="G24" s="16">
        <v>0.328947028332707</v>
      </c>
      <c r="H24" s="14"/>
      <c r="I24" s="16">
        <v>0.26380220487974115</v>
      </c>
      <c r="J24" s="15"/>
      <c r="K24" s="16">
        <v>0.22204925318015414</v>
      </c>
      <c r="L24" s="15"/>
      <c r="M24" s="16">
        <v>0.20436376203488252</v>
      </c>
      <c r="N24" s="15"/>
      <c r="O24" s="27"/>
      <c r="P24" s="15"/>
      <c r="Q24" s="27"/>
      <c r="R24" s="15"/>
      <c r="S24" s="13"/>
      <c r="T24" s="6"/>
    </row>
    <row r="25" spans="1:20" s="4" customFormat="1" ht="13.5">
      <c r="F25" s="12">
        <v>120</v>
      </c>
      <c r="G25" s="16">
        <v>0.35985293437575439</v>
      </c>
      <c r="H25" s="14"/>
      <c r="I25" s="16">
        <v>0.29564984309063469</v>
      </c>
      <c r="J25" s="15"/>
      <c r="K25" s="16">
        <v>0.25235363796160248</v>
      </c>
      <c r="L25" s="15"/>
      <c r="M25" s="16">
        <v>0.22419617462497782</v>
      </c>
      <c r="N25" s="15"/>
      <c r="O25" s="27"/>
      <c r="P25" s="15"/>
      <c r="Q25" s="27"/>
      <c r="R25" s="15"/>
      <c r="S25" s="13"/>
      <c r="T25" s="6"/>
    </row>
    <row r="26" spans="1:20" s="4" customFormat="1" ht="13.5">
      <c r="F26" s="12"/>
      <c r="G26" s="16"/>
      <c r="H26" s="14"/>
      <c r="I26" s="16"/>
      <c r="J26" s="15"/>
      <c r="K26" s="16"/>
      <c r="L26" s="15"/>
      <c r="M26" s="16"/>
      <c r="N26" s="15"/>
      <c r="O26" s="27"/>
      <c r="P26" s="15"/>
      <c r="Q26" s="27"/>
      <c r="R26" s="15"/>
      <c r="S26" s="13"/>
      <c r="T26" s="6"/>
    </row>
    <row r="27" spans="1:20" s="4" customFormat="1" ht="13.5">
      <c r="F27" s="12"/>
      <c r="G27" s="12"/>
      <c r="H27" s="12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6"/>
    </row>
    <row r="28" spans="1:20" s="4" customFormat="1" ht="13.5">
      <c r="F28" s="12"/>
      <c r="G28" s="12"/>
      <c r="H28" s="12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6"/>
    </row>
    <row r="29" spans="1:20" ht="18.75">
      <c r="F29" s="24" t="s">
        <v>11</v>
      </c>
      <c r="G29" s="22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</row>
    <row r="30" spans="1:20" ht="15" customHeight="1">
      <c r="F30" s="28" t="s">
        <v>4</v>
      </c>
      <c r="G30" s="22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1:20" ht="14.25">
      <c r="F31" s="39"/>
      <c r="G31" s="30">
        <v>8.3333333333333329E-2</v>
      </c>
      <c r="H31" s="31"/>
      <c r="I31" s="31">
        <v>0.25</v>
      </c>
      <c r="J31" s="31"/>
      <c r="K31" s="31">
        <v>0.5</v>
      </c>
      <c r="L31" s="31"/>
      <c r="M31" s="31">
        <v>0.75</v>
      </c>
      <c r="N31" s="31"/>
      <c r="O31" s="31"/>
      <c r="P31" s="31"/>
      <c r="Q31" s="31"/>
      <c r="R31" s="31"/>
      <c r="S31" s="23"/>
      <c r="T31" s="23"/>
    </row>
    <row r="32" spans="1:20">
      <c r="F32" s="29">
        <v>80</v>
      </c>
      <c r="G32" s="25">
        <v>0.60300452409507432</v>
      </c>
      <c r="H32" s="25"/>
      <c r="I32" s="25">
        <v>0.49422738360159113</v>
      </c>
      <c r="J32" s="25"/>
      <c r="K32" s="25">
        <v>0.42724885107502847</v>
      </c>
      <c r="L32" s="25"/>
      <c r="M32" s="25">
        <v>0.40427630184495361</v>
      </c>
      <c r="N32" s="25"/>
      <c r="O32" s="25"/>
      <c r="P32" s="25"/>
      <c r="Q32" s="25"/>
      <c r="R32" s="25"/>
      <c r="S32" s="26"/>
      <c r="T32" s="26"/>
    </row>
    <row r="33" spans="6:20">
      <c r="F33" s="29">
        <v>81.25</v>
      </c>
      <c r="G33" s="25">
        <v>0.56769307555205784</v>
      </c>
      <c r="H33" s="25"/>
      <c r="I33" s="25">
        <v>0.46063068386827266</v>
      </c>
      <c r="J33" s="25"/>
      <c r="K33" s="25">
        <v>0.39912000594110547</v>
      </c>
      <c r="L33" s="25"/>
      <c r="M33" s="25">
        <v>0.37657869826224449</v>
      </c>
      <c r="N33" s="25"/>
      <c r="O33" s="25"/>
      <c r="P33" s="25"/>
      <c r="Q33" s="25"/>
      <c r="R33" s="25"/>
      <c r="S33" s="26"/>
      <c r="T33" s="26"/>
    </row>
    <row r="34" spans="6:20">
      <c r="F34" s="29">
        <v>82.5</v>
      </c>
      <c r="G34" s="25">
        <v>0.53492860869827108</v>
      </c>
      <c r="H34" s="25"/>
      <c r="I34" s="25">
        <v>0.4295783281746165</v>
      </c>
      <c r="J34" s="25"/>
      <c r="K34" s="25">
        <v>0.37309832323917258</v>
      </c>
      <c r="L34" s="25"/>
      <c r="M34" s="25">
        <v>0.35094492312849673</v>
      </c>
      <c r="N34" s="25"/>
      <c r="O34" s="25"/>
      <c r="P34" s="25"/>
      <c r="Q34" s="25"/>
      <c r="R34" s="25"/>
      <c r="S34" s="26"/>
      <c r="T34" s="26"/>
    </row>
    <row r="35" spans="6:20">
      <c r="F35" s="29">
        <v>83.75</v>
      </c>
      <c r="G35" s="25">
        <v>0.50460455018810801</v>
      </c>
      <c r="H35" s="25"/>
      <c r="I35" s="25">
        <v>0.40096347112289549</v>
      </c>
      <c r="J35" s="25"/>
      <c r="K35" s="25">
        <v>0.34909538574757731</v>
      </c>
      <c r="L35" s="25"/>
      <c r="M35" s="25">
        <v>0.32728841108062429</v>
      </c>
      <c r="N35" s="25"/>
      <c r="O35" s="25"/>
      <c r="P35" s="25"/>
      <c r="Q35" s="25"/>
      <c r="R35" s="25"/>
      <c r="S35" s="26"/>
      <c r="T35" s="26"/>
    </row>
    <row r="36" spans="6:20">
      <c r="F36" s="29">
        <v>85</v>
      </c>
      <c r="G36" s="25">
        <v>0.47661994506922162</v>
      </c>
      <c r="H36" s="25"/>
      <c r="I36" s="25">
        <v>0.3746849081359882</v>
      </c>
      <c r="J36" s="25"/>
      <c r="K36" s="25">
        <v>0.32702744270022377</v>
      </c>
      <c r="L36" s="25"/>
      <c r="M36" s="25">
        <v>0.3055271647669584</v>
      </c>
      <c r="N36" s="25"/>
      <c r="O36" s="25"/>
      <c r="P36" s="25"/>
      <c r="Q36" s="25"/>
      <c r="R36" s="25"/>
      <c r="S36" s="26"/>
      <c r="T36" s="26"/>
    </row>
    <row r="37" spans="6:20">
      <c r="F37" s="29">
        <v>86.25</v>
      </c>
      <c r="G37" s="25">
        <v>0.45087909034455037</v>
      </c>
      <c r="H37" s="25"/>
      <c r="I37" s="25">
        <v>0.35064670726026725</v>
      </c>
      <c r="J37" s="25"/>
      <c r="K37" s="25">
        <v>0.30681510524343342</v>
      </c>
      <c r="L37" s="25"/>
      <c r="M37" s="25">
        <v>0.28558345675469304</v>
      </c>
      <c r="N37" s="25"/>
      <c r="O37" s="25"/>
      <c r="P37" s="25"/>
      <c r="Q37" s="25"/>
      <c r="R37" s="25"/>
      <c r="S37" s="26"/>
      <c r="T37" s="26"/>
    </row>
    <row r="38" spans="6:20">
      <c r="F38" s="29">
        <v>87.5</v>
      </c>
      <c r="G38" s="25">
        <v>0.42729119708995422</v>
      </c>
      <c r="H38" s="25"/>
      <c r="I38" s="25">
        <v>0.32875786967635129</v>
      </c>
      <c r="J38" s="25"/>
      <c r="K38" s="25">
        <v>0.28838306563490979</v>
      </c>
      <c r="L38" s="25"/>
      <c r="M38" s="25">
        <v>0.26738355467522007</v>
      </c>
      <c r="N38" s="25"/>
      <c r="O38" s="25"/>
      <c r="P38" s="25"/>
      <c r="Q38" s="25"/>
      <c r="R38" s="25"/>
      <c r="S38" s="26"/>
      <c r="T38" s="26"/>
    </row>
    <row r="39" spans="6:20">
      <c r="F39" s="29">
        <v>88.75</v>
      </c>
      <c r="G39" s="25">
        <v>0.40577007854262387</v>
      </c>
      <c r="H39" s="25"/>
      <c r="I39" s="25">
        <v>0.30893201631811212</v>
      </c>
      <c r="J39" s="25"/>
      <c r="K39" s="25">
        <v>0.27165983803504584</v>
      </c>
      <c r="L39" s="25"/>
      <c r="M39" s="25">
        <v>0.25085746750334031</v>
      </c>
      <c r="N39" s="25"/>
      <c r="O39" s="25"/>
      <c r="P39" s="25"/>
      <c r="Q39" s="25"/>
      <c r="R39" s="25"/>
      <c r="S39" s="26"/>
      <c r="T39" s="26"/>
    </row>
    <row r="40" spans="6:20">
      <c r="F40" s="29">
        <v>90</v>
      </c>
      <c r="G40" s="25">
        <v>0.38623386184138447</v>
      </c>
      <c r="H40" s="25"/>
      <c r="I40" s="25">
        <v>0.29108709826789181</v>
      </c>
      <c r="J40" s="25"/>
      <c r="K40" s="25">
        <v>0.25657751896206105</v>
      </c>
      <c r="L40" s="25"/>
      <c r="M40" s="25">
        <v>0.23593871108285908</v>
      </c>
      <c r="N40" s="25"/>
      <c r="O40" s="25"/>
      <c r="P40" s="25"/>
      <c r="Q40" s="25"/>
      <c r="R40" s="25"/>
      <c r="S40" s="26"/>
      <c r="T40" s="26"/>
    </row>
    <row r="41" spans="6:20">
      <c r="F41" s="29">
        <v>91.25</v>
      </c>
      <c r="G41" s="25">
        <v>0.3686047213353828</v>
      </c>
      <c r="H41" s="25"/>
      <c r="I41" s="25">
        <v>0.27514512883265102</v>
      </c>
      <c r="J41" s="25"/>
      <c r="K41" s="25">
        <v>0.24307156567823934</v>
      </c>
      <c r="L41" s="25"/>
      <c r="M41" s="25">
        <v>0.22256409120269607</v>
      </c>
      <c r="N41" s="25"/>
      <c r="O41" s="25"/>
      <c r="P41" s="25"/>
      <c r="Q41" s="25"/>
      <c r="R41" s="25"/>
      <c r="S41" s="26"/>
      <c r="T41" s="26"/>
    </row>
    <row r="42" spans="6:20">
      <c r="F42" s="29">
        <v>92.5</v>
      </c>
      <c r="G42" s="25">
        <v>0.35280863158631187</v>
      </c>
      <c r="H42" s="25"/>
      <c r="I42" s="25">
        <v>0.26103193541567571</v>
      </c>
      <c r="J42" s="25"/>
      <c r="K42" s="25">
        <v>0.23108059094811828</v>
      </c>
      <c r="L42" s="25"/>
      <c r="M42" s="25">
        <v>0.21067350269751303</v>
      </c>
      <c r="N42" s="25"/>
      <c r="O42" s="25"/>
      <c r="P42" s="25"/>
      <c r="Q42" s="25"/>
      <c r="R42" s="25"/>
      <c r="S42" s="26"/>
      <c r="T42" s="26"/>
    </row>
    <row r="43" spans="6:20">
      <c r="F43" s="29">
        <v>93.75</v>
      </c>
      <c r="G43" s="25">
        <v>0.33877513837462697</v>
      </c>
      <c r="H43" s="25"/>
      <c r="I43" s="25">
        <v>0.24867692948487158</v>
      </c>
      <c r="J43" s="25"/>
      <c r="K43" s="25">
        <v>0.22054617276360819</v>
      </c>
      <c r="L43" s="25"/>
      <c r="M43" s="25">
        <v>0.20020974319771812</v>
      </c>
      <c r="N43" s="25"/>
      <c r="O43" s="25"/>
      <c r="P43" s="25"/>
      <c r="Q43" s="25"/>
      <c r="R43" s="25"/>
      <c r="S43" s="26"/>
      <c r="T43" s="26"/>
    </row>
    <row r="44" spans="6:20">
      <c r="F44" s="29">
        <v>95</v>
      </c>
      <c r="G44" s="25">
        <v>0.32643714618502978</v>
      </c>
      <c r="H44" s="25"/>
      <c r="I44" s="25">
        <v>0.23801289310446094</v>
      </c>
      <c r="J44" s="25"/>
      <c r="K44" s="25">
        <v>0.21141267776812508</v>
      </c>
      <c r="L44" s="25"/>
      <c r="M44" s="25">
        <v>0.1911183402878833</v>
      </c>
      <c r="N44" s="25"/>
      <c r="O44" s="25"/>
      <c r="P44" s="25"/>
      <c r="Q44" s="25"/>
      <c r="R44" s="25"/>
      <c r="S44" s="26"/>
      <c r="T44" s="26"/>
    </row>
    <row r="45" spans="6:20">
      <c r="F45" s="29">
        <v>96.25</v>
      </c>
      <c r="G45" s="25">
        <v>0.31573072079334386</v>
      </c>
      <c r="H45" s="25"/>
      <c r="I45" s="25">
        <v>0.228975780644607</v>
      </c>
      <c r="J45" s="25"/>
      <c r="K45" s="25">
        <v>0.20362709723395753</v>
      </c>
      <c r="L45" s="25"/>
      <c r="M45" s="25">
        <v>0.18334739095215077</v>
      </c>
      <c r="N45" s="25"/>
      <c r="O45" s="25"/>
      <c r="P45" s="25"/>
      <c r="Q45" s="25"/>
      <c r="R45" s="25"/>
      <c r="S45" s="26"/>
      <c r="T45" s="26"/>
    </row>
    <row r="46" spans="6:20">
      <c r="F46" s="29">
        <v>97.5</v>
      </c>
      <c r="G46" s="25">
        <v>0.30659490570792713</v>
      </c>
      <c r="H46" s="25"/>
      <c r="I46" s="25">
        <v>0.22150453441527479</v>
      </c>
      <c r="J46" s="25"/>
      <c r="K46" s="25">
        <v>0.19713889455607153</v>
      </c>
      <c r="L46" s="25"/>
      <c r="M46" s="25">
        <v>0.17684741229186651</v>
      </c>
      <c r="N46" s="25"/>
      <c r="O46" s="25"/>
      <c r="P46" s="25"/>
      <c r="Q46" s="25"/>
      <c r="R46" s="25"/>
      <c r="S46" s="26"/>
      <c r="T46" s="26"/>
    </row>
    <row r="47" spans="6:20">
      <c r="F47" s="29">
        <v>98.75</v>
      </c>
      <c r="G47" s="25">
        <v>0.29897155133586151</v>
      </c>
      <c r="H47" s="25"/>
      <c r="I47" s="25">
        <v>0.21554091308841355</v>
      </c>
      <c r="J47" s="25"/>
      <c r="K47" s="25">
        <v>0.19189986332294462</v>
      </c>
      <c r="L47" s="25"/>
      <c r="M47" s="25">
        <v>0.1715712025959954</v>
      </c>
      <c r="N47" s="25"/>
      <c r="O47" s="25"/>
      <c r="P47" s="25"/>
      <c r="Q47" s="25"/>
      <c r="R47" s="25"/>
      <c r="S47" s="26"/>
      <c r="T47" s="26"/>
    </row>
    <row r="48" spans="6:20">
      <c r="F48" s="29">
        <v>100</v>
      </c>
      <c r="G48" s="25">
        <v>0.29280515584894856</v>
      </c>
      <c r="H48" s="25"/>
      <c r="I48" s="25">
        <v>0.21102933187793466</v>
      </c>
      <c r="J48" s="25"/>
      <c r="K48" s="25">
        <v>0.18786399511217783</v>
      </c>
      <c r="L48" s="25"/>
      <c r="M48" s="25">
        <v>0.16747371193017191</v>
      </c>
      <c r="N48" s="25"/>
      <c r="O48" s="25"/>
      <c r="P48" s="25"/>
      <c r="Q48" s="25"/>
      <c r="R48" s="25"/>
      <c r="S48" s="26"/>
      <c r="T48" s="26"/>
    </row>
    <row r="49" spans="6:20">
      <c r="F49" s="29">
        <v>101.25</v>
      </c>
      <c r="G49" s="25">
        <v>0.28804271681845911</v>
      </c>
      <c r="H49" s="25"/>
      <c r="I49" s="25">
        <v>0.20791671354142074</v>
      </c>
      <c r="J49" s="25"/>
      <c r="K49" s="25">
        <v>0.1849873562367442</v>
      </c>
      <c r="L49" s="25"/>
      <c r="M49" s="25">
        <v>0.16451192148669147</v>
      </c>
      <c r="N49" s="25"/>
      <c r="O49" s="25"/>
      <c r="P49" s="25"/>
      <c r="Q49" s="25"/>
      <c r="R49" s="25"/>
      <c r="S49" s="26"/>
      <c r="T49" s="26"/>
    </row>
    <row r="50" spans="6:20">
      <c r="F50" s="29">
        <v>102.5</v>
      </c>
      <c r="G50" s="25">
        <v>0.28463359277187128</v>
      </c>
      <c r="H50" s="25"/>
      <c r="I50" s="25">
        <v>0.20615234935226753</v>
      </c>
      <c r="J50" s="25"/>
      <c r="K50" s="25">
        <v>0.18322797273783442</v>
      </c>
      <c r="L50" s="25"/>
      <c r="M50" s="25">
        <v>0.16264473100635418</v>
      </c>
      <c r="N50" s="25"/>
      <c r="O50" s="25"/>
      <c r="P50" s="25"/>
      <c r="Q50" s="25"/>
      <c r="R50" s="25"/>
      <c r="S50" s="26"/>
      <c r="T50" s="26"/>
    </row>
    <row r="51" spans="6:20">
      <c r="F51" s="29">
        <v>103.75</v>
      </c>
      <c r="G51" s="25">
        <v>0.28252937390058563</v>
      </c>
      <c r="H51" s="25"/>
      <c r="I51" s="25">
        <v>0.20568776926714488</v>
      </c>
      <c r="J51" s="25"/>
      <c r="K51" s="25">
        <v>0.18254572298325814</v>
      </c>
      <c r="L51" s="25"/>
      <c r="M51" s="25">
        <v>0.16183285364473457</v>
      </c>
      <c r="N51" s="25"/>
      <c r="O51" s="25"/>
      <c r="P51" s="25"/>
      <c r="Q51" s="25"/>
      <c r="R51" s="25"/>
      <c r="S51" s="26"/>
      <c r="T51" s="26"/>
    </row>
    <row r="52" spans="6:20">
      <c r="F52" s="29">
        <v>105</v>
      </c>
      <c r="G52" s="25">
        <v>0.28168376121577093</v>
      </c>
      <c r="H52" s="25"/>
      <c r="I52" s="25">
        <v>0.2064766205822133</v>
      </c>
      <c r="J52" s="25"/>
      <c r="K52" s="25">
        <v>0.18290223728705171</v>
      </c>
      <c r="L52" s="25"/>
      <c r="M52" s="25">
        <v>0.16203871771093389</v>
      </c>
      <c r="N52" s="25"/>
      <c r="O52" s="25"/>
      <c r="P52" s="25"/>
      <c r="Q52" s="25"/>
      <c r="R52" s="25"/>
      <c r="S52" s="26"/>
      <c r="T52" s="26"/>
    </row>
    <row r="53" spans="6:20">
      <c r="F53" s="29">
        <v>106.25</v>
      </c>
      <c r="G53" s="25">
        <v>0.28205245351091773</v>
      </c>
      <c r="H53" s="25"/>
      <c r="I53" s="25">
        <v>0.20847455443330293</v>
      </c>
      <c r="J53" s="25"/>
      <c r="K53" s="25">
        <v>0.18426080401702297</v>
      </c>
      <c r="L53" s="25"/>
      <c r="M53" s="25">
        <v>0.16322637475686697</v>
      </c>
      <c r="N53" s="25"/>
      <c r="O53" s="25"/>
      <c r="P53" s="25"/>
      <c r="Q53" s="25"/>
      <c r="R53" s="25"/>
      <c r="S53" s="26"/>
      <c r="T53" s="26"/>
    </row>
    <row r="54" spans="6:20">
      <c r="F54" s="29">
        <v>107.5</v>
      </c>
      <c r="G54" s="25">
        <v>0.28359304154509379</v>
      </c>
      <c r="H54" s="25"/>
      <c r="I54" s="25">
        <v>0.21163911955098533</v>
      </c>
      <c r="J54" s="25"/>
      <c r="K54" s="25">
        <v>0.18658628170304736</v>
      </c>
      <c r="L54" s="25"/>
      <c r="M54" s="25">
        <v>0.16536141354023839</v>
      </c>
      <c r="N54" s="25"/>
      <c r="O54" s="25"/>
      <c r="P54" s="25"/>
      <c r="Q54" s="25"/>
      <c r="R54" s="25"/>
      <c r="S54" s="26"/>
      <c r="T54" s="26"/>
    </row>
    <row r="55" spans="6:20">
      <c r="F55" s="29">
        <v>108.75</v>
      </c>
      <c r="G55" s="25">
        <v>0.28626490891094897</v>
      </c>
      <c r="H55" s="25"/>
      <c r="I55" s="25">
        <v>0.21592966273180472</v>
      </c>
      <c r="J55" s="25"/>
      <c r="K55" s="25">
        <v>0.18984501670055595</v>
      </c>
      <c r="L55" s="25"/>
      <c r="M55" s="25">
        <v>0.16841087942510505</v>
      </c>
      <c r="N55" s="25"/>
      <c r="O55" s="25"/>
      <c r="P55" s="25"/>
      <c r="Q55" s="25"/>
      <c r="R55" s="25"/>
      <c r="S55" s="26"/>
      <c r="T55" s="26"/>
    </row>
    <row r="56" spans="6:20">
      <c r="F56" s="29">
        <v>110</v>
      </c>
      <c r="G56" s="25">
        <v>0.29002913909678935</v>
      </c>
      <c r="H56" s="25"/>
      <c r="I56" s="25">
        <v>0.22130723553245574</v>
      </c>
      <c r="J56" s="25"/>
      <c r="K56" s="25">
        <v>0.19400476600130068</v>
      </c>
      <c r="L56" s="25"/>
      <c r="M56" s="25">
        <v>0.17234319882076501</v>
      </c>
      <c r="N56" s="25"/>
      <c r="O56" s="25"/>
      <c r="P56" s="25"/>
      <c r="Q56" s="25"/>
      <c r="R56" s="25"/>
      <c r="S56" s="26"/>
      <c r="T56" s="26"/>
    </row>
    <row r="57" spans="6:20">
      <c r="F57" s="29">
        <v>111.25</v>
      </c>
      <c r="G57" s="25">
        <v>0.29484842829302987</v>
      </c>
      <c r="H57" s="25"/>
      <c r="I57" s="25">
        <v>0.22773450673490947</v>
      </c>
      <c r="J57" s="25"/>
      <c r="K57" s="25">
        <v>0.19903462481756817</v>
      </c>
      <c r="L57" s="25"/>
      <c r="M57" s="25">
        <v>0.17712810829307588</v>
      </c>
      <c r="N57" s="25"/>
      <c r="O57" s="25"/>
      <c r="P57" s="25"/>
      <c r="Q57" s="25"/>
      <c r="R57" s="25"/>
      <c r="S57" s="26"/>
      <c r="T57" s="26"/>
    </row>
    <row r="58" spans="6:20">
      <c r="F58" s="29">
        <v>112.5</v>
      </c>
      <c r="G58" s="25">
        <v>0.30068700353048949</v>
      </c>
      <c r="H58" s="25"/>
      <c r="I58" s="25">
        <v>0.23517568016785084</v>
      </c>
      <c r="J58" s="25"/>
      <c r="K58" s="25">
        <v>0.20490495859690727</v>
      </c>
      <c r="L58" s="25"/>
      <c r="M58" s="25">
        <v>0.1827365880125417</v>
      </c>
      <c r="N58" s="25"/>
      <c r="O58" s="25"/>
      <c r="P58" s="25"/>
      <c r="Q58" s="25"/>
      <c r="R58" s="25"/>
      <c r="S58" s="26"/>
      <c r="T58" s="26"/>
    </row>
    <row r="59" spans="6:20">
      <c r="F59" s="29">
        <v>113.75</v>
      </c>
      <c r="G59" s="25">
        <v>0.30751054577171333</v>
      </c>
      <c r="H59" s="25"/>
      <c r="I59" s="25">
        <v>0.2435964175036906</v>
      </c>
      <c r="J59" s="25"/>
      <c r="K59" s="25">
        <v>0.21158733915247729</v>
      </c>
      <c r="L59" s="25"/>
      <c r="M59" s="25">
        <v>0.18914079923095442</v>
      </c>
      <c r="N59" s="25"/>
      <c r="O59" s="25"/>
      <c r="P59" s="25"/>
      <c r="Q59" s="25"/>
      <c r="R59" s="25"/>
      <c r="S59" s="26"/>
      <c r="T59" s="26"/>
    </row>
    <row r="60" spans="6:20">
      <c r="F60" s="29">
        <v>115</v>
      </c>
      <c r="G60" s="25">
        <v>0.31528611760713771</v>
      </c>
      <c r="H60" s="25"/>
      <c r="I60" s="25">
        <v>0.25296376568121831</v>
      </c>
      <c r="J60" s="25"/>
      <c r="K60" s="25">
        <v>0.21905448461958998</v>
      </c>
      <c r="L60" s="25"/>
      <c r="M60" s="25">
        <v>0.19631402550329996</v>
      </c>
      <c r="N60" s="25"/>
      <c r="O60" s="25"/>
      <c r="P60" s="25"/>
      <c r="Q60" s="25"/>
      <c r="R60" s="25"/>
      <c r="S60" s="26"/>
      <c r="T60" s="26"/>
    </row>
    <row r="61" spans="6:20">
      <c r="F61" s="29">
        <v>116.25</v>
      </c>
      <c r="G61" s="25">
        <v>0.3239820952357747</v>
      </c>
      <c r="H61" s="25"/>
      <c r="I61" s="25">
        <v>0.2632460886319668</v>
      </c>
      <c r="J61" s="25"/>
      <c r="K61" s="25">
        <v>0.22728020297218612</v>
      </c>
      <c r="L61" s="25"/>
      <c r="M61" s="25">
        <v>0.20423061739431547</v>
      </c>
      <c r="N61" s="25"/>
      <c r="O61" s="25"/>
      <c r="P61" s="25"/>
      <c r="Q61" s="25"/>
      <c r="R61" s="25"/>
      <c r="S61" s="26"/>
      <c r="T61" s="26"/>
    </row>
    <row r="62" spans="6:20">
      <c r="F62" s="29">
        <v>117.5</v>
      </c>
      <c r="G62" s="25">
        <v>0.33356810443545454</v>
      </c>
      <c r="H62" s="25"/>
      <c r="I62" s="25">
        <v>0.27441300301386246</v>
      </c>
      <c r="J62" s="25"/>
      <c r="K62" s="25">
        <v>0.2362393388540758</v>
      </c>
      <c r="L62" s="25"/>
      <c r="M62" s="25">
        <v>0.21286594042972429</v>
      </c>
      <c r="N62" s="25"/>
      <c r="O62" s="25"/>
      <c r="P62" s="25"/>
      <c r="Q62" s="25"/>
      <c r="R62" s="25"/>
      <c r="S62" s="26"/>
      <c r="T62" s="26"/>
    </row>
    <row r="63" spans="6:20">
      <c r="F63" s="29">
        <v>118.75</v>
      </c>
      <c r="G63" s="25">
        <v>0.34401496025077738</v>
      </c>
      <c r="H63" s="25"/>
      <c r="I63" s="25">
        <v>0.28643531767897068</v>
      </c>
      <c r="J63" s="25"/>
      <c r="K63" s="25">
        <v>0.24590772349898593</v>
      </c>
      <c r="L63" s="25"/>
      <c r="M63" s="25">
        <v>0.22219632607098028</v>
      </c>
      <c r="N63" s="25"/>
      <c r="O63" s="25"/>
      <c r="P63" s="25"/>
      <c r="Q63" s="25"/>
      <c r="R63" s="25"/>
      <c r="S63" s="26"/>
      <c r="T63" s="26"/>
    </row>
    <row r="64" spans="6:20">
      <c r="F64" s="29">
        <v>120</v>
      </c>
      <c r="G64" s="25">
        <v>0.35529461014801539</v>
      </c>
      <c r="H64" s="25"/>
      <c r="I64" s="25">
        <v>0.29928497662334247</v>
      </c>
      <c r="J64" s="25"/>
      <c r="K64" s="25">
        <v>0.25626212753099242</v>
      </c>
      <c r="L64" s="25"/>
      <c r="M64" s="25">
        <v>0.23219902550951968</v>
      </c>
      <c r="N64" s="25"/>
      <c r="O64" s="25"/>
      <c r="P64" s="25"/>
      <c r="Q64" s="25"/>
      <c r="R64" s="25"/>
      <c r="S64" s="26"/>
      <c r="T64" s="26"/>
    </row>
    <row r="65" spans="6:20">
      <c r="F65" s="29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6"/>
      <c r="T65" s="26"/>
    </row>
    <row r="66" spans="6:20">
      <c r="F66" s="29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6"/>
      <c r="T66" s="26"/>
    </row>
    <row r="67" spans="6:20">
      <c r="F67" s="29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6"/>
      <c r="T67" s="26"/>
    </row>
    <row r="68" spans="6:20">
      <c r="F68" s="29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6"/>
      <c r="T68" s="26"/>
    </row>
    <row r="69" spans="6:20">
      <c r="F69" s="29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6"/>
      <c r="T69" s="26"/>
    </row>
    <row r="70" spans="6:20">
      <c r="F70" s="29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6"/>
      <c r="T70" s="26"/>
    </row>
    <row r="71" spans="6:20">
      <c r="F71" s="29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6"/>
      <c r="T71" s="26"/>
    </row>
    <row r="72" spans="6:20">
      <c r="F72" s="29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6"/>
      <c r="T72" s="26"/>
    </row>
    <row r="73" spans="6:20">
      <c r="F73" s="29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6"/>
      <c r="T73" s="26"/>
    </row>
    <row r="74" spans="6:20">
      <c r="F74" s="29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6"/>
      <c r="T74" s="26"/>
    </row>
    <row r="75" spans="6:20">
      <c r="F75" s="29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6"/>
      <c r="T75" s="26"/>
    </row>
    <row r="76" spans="6:20">
      <c r="F76" s="29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6"/>
      <c r="T76" s="26"/>
    </row>
    <row r="77" spans="6:20">
      <c r="F77" s="29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6"/>
      <c r="T77" s="26"/>
    </row>
    <row r="78" spans="6:20">
      <c r="F78" s="29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6"/>
      <c r="T78" s="26"/>
    </row>
    <row r="79" spans="6:20">
      <c r="F79" s="29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6"/>
      <c r="T79" s="26"/>
    </row>
    <row r="80" spans="6:20">
      <c r="F80" s="29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6"/>
      <c r="T80" s="26"/>
    </row>
    <row r="81" spans="6:20">
      <c r="F81" s="29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6"/>
      <c r="T81" s="26"/>
    </row>
    <row r="82" spans="6:20">
      <c r="F82" s="29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6"/>
      <c r="T82" s="26"/>
    </row>
    <row r="83" spans="6:20">
      <c r="F83" s="29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6"/>
      <c r="T83" s="26"/>
    </row>
    <row r="84" spans="6:20">
      <c r="F84" s="29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6"/>
      <c r="T84" s="26"/>
    </row>
    <row r="85" spans="6:20">
      <c r="F85" s="29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6"/>
      <c r="T85" s="26"/>
    </row>
    <row r="86" spans="6:20">
      <c r="F86" s="29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6"/>
      <c r="T86" s="26"/>
    </row>
    <row r="87" spans="6:20">
      <c r="F87" s="29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6"/>
      <c r="T87" s="26"/>
    </row>
    <row r="88" spans="6:20">
      <c r="F88" s="29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6"/>
      <c r="T88" s="26"/>
    </row>
    <row r="89" spans="6:20">
      <c r="F89" s="29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6"/>
      <c r="T89" s="26"/>
    </row>
    <row r="90" spans="6:20">
      <c r="F90" s="29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6"/>
      <c r="T90" s="26"/>
    </row>
    <row r="91" spans="6:20">
      <c r="F91" s="29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6"/>
      <c r="T91" s="26"/>
    </row>
    <row r="92" spans="6:20">
      <c r="F92" s="29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6"/>
      <c r="T92" s="26"/>
    </row>
    <row r="93" spans="6:20">
      <c r="F93" s="29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6"/>
      <c r="T93" s="26"/>
    </row>
    <row r="94" spans="6:20">
      <c r="F94" s="29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6"/>
      <c r="T94" s="26"/>
    </row>
    <row r="95" spans="6:20">
      <c r="F95" s="29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6"/>
      <c r="T95" s="26"/>
    </row>
    <row r="96" spans="6:20">
      <c r="F96" s="29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6"/>
      <c r="T96" s="26"/>
    </row>
    <row r="97" spans="6:20">
      <c r="F97" s="29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6"/>
      <c r="T97" s="26"/>
    </row>
    <row r="98" spans="6:20">
      <c r="F98" s="29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6"/>
      <c r="T98" s="26"/>
    </row>
    <row r="99" spans="6:20">
      <c r="F99" s="29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6"/>
      <c r="T99" s="26"/>
    </row>
    <row r="100" spans="6:20">
      <c r="F100" s="29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6"/>
      <c r="T100" s="26"/>
    </row>
    <row r="101" spans="6:20">
      <c r="F101" s="29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6"/>
      <c r="T101" s="26"/>
    </row>
    <row r="102" spans="6:20">
      <c r="F102" s="29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6"/>
      <c r="T102" s="26"/>
    </row>
    <row r="103" spans="6:20">
      <c r="F103" s="29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6"/>
      <c r="T103" s="26"/>
    </row>
    <row r="104" spans="6:20">
      <c r="F104" s="29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6"/>
      <c r="T104" s="26"/>
    </row>
    <row r="105" spans="6:20">
      <c r="F105" s="29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6"/>
      <c r="T105" s="26"/>
    </row>
    <row r="106" spans="6:20">
      <c r="F106" s="29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6"/>
      <c r="T106" s="26"/>
    </row>
    <row r="107" spans="6:20">
      <c r="F107" s="29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6"/>
      <c r="T107" s="26"/>
    </row>
    <row r="108" spans="6:20">
      <c r="F108" s="29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6"/>
      <c r="T108" s="26"/>
    </row>
    <row r="109" spans="6:20">
      <c r="F109" s="29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6"/>
      <c r="T109" s="26"/>
    </row>
    <row r="110" spans="6:20">
      <c r="F110" s="29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6"/>
      <c r="T110" s="26"/>
    </row>
    <row r="111" spans="6:20">
      <c r="F111" s="29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6"/>
      <c r="T111" s="26"/>
    </row>
    <row r="112" spans="6:20">
      <c r="F112" s="29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6"/>
      <c r="T112" s="26"/>
    </row>
    <row r="113" spans="6:20">
      <c r="F113" s="29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6"/>
      <c r="T113" s="26"/>
    </row>
    <row r="114" spans="6:20">
      <c r="F114" s="29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6"/>
      <c r="T114" s="26"/>
    </row>
    <row r="115" spans="6:20">
      <c r="F115" s="29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6"/>
      <c r="T115" s="26"/>
    </row>
    <row r="116" spans="6:20">
      <c r="F116" s="29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6"/>
      <c r="T116" s="26"/>
    </row>
    <row r="117" spans="6:20">
      <c r="F117" s="29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6"/>
      <c r="T117" s="26"/>
    </row>
    <row r="118" spans="6:20">
      <c r="F118" s="29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6"/>
      <c r="T118" s="26"/>
    </row>
    <row r="119" spans="6:20">
      <c r="F119" s="29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6"/>
      <c r="T119" s="26"/>
    </row>
    <row r="120" spans="6:20">
      <c r="F120" s="29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6"/>
      <c r="T120" s="26"/>
    </row>
    <row r="121" spans="6:20">
      <c r="F121" s="29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6"/>
      <c r="T121" s="26"/>
    </row>
    <row r="122" spans="6:20">
      <c r="F122" s="29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6"/>
      <c r="T122" s="26"/>
    </row>
    <row r="123" spans="6:20">
      <c r="F123" s="29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6"/>
      <c r="T123" s="26"/>
    </row>
    <row r="124" spans="6:20">
      <c r="F124" s="29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6"/>
      <c r="T124" s="26"/>
    </row>
    <row r="125" spans="6:20">
      <c r="F125" s="29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6"/>
      <c r="T125" s="26"/>
    </row>
    <row r="126" spans="6:20">
      <c r="F126" s="29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6"/>
      <c r="T126" s="26"/>
    </row>
    <row r="127" spans="6:20">
      <c r="F127" s="29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6"/>
      <c r="T127" s="26"/>
    </row>
    <row r="128" spans="6:20">
      <c r="F128" s="29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6"/>
      <c r="T128" s="26"/>
    </row>
    <row r="129" spans="6:20">
      <c r="F129" s="29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6"/>
      <c r="T129" s="26"/>
    </row>
    <row r="130" spans="6:20">
      <c r="F130" s="29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6"/>
      <c r="T130" s="26"/>
    </row>
    <row r="131" spans="6:20">
      <c r="F131" s="29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6"/>
      <c r="T131" s="26"/>
    </row>
    <row r="132" spans="6:20">
      <c r="F132" s="29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6"/>
      <c r="T132" s="26"/>
    </row>
    <row r="133" spans="6:20">
      <c r="F133" s="29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6"/>
      <c r="T133" s="26"/>
    </row>
    <row r="134" spans="6:20">
      <c r="F134" s="29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6"/>
      <c r="T134" s="26"/>
    </row>
    <row r="135" spans="6:20">
      <c r="F135" s="29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6"/>
      <c r="T135" s="26"/>
    </row>
    <row r="136" spans="6:20">
      <c r="F136" s="29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6"/>
      <c r="T136" s="26"/>
    </row>
    <row r="137" spans="6:20">
      <c r="F137" s="29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6"/>
      <c r="T137" s="26"/>
    </row>
    <row r="138" spans="6:20">
      <c r="F138" s="29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6"/>
      <c r="T138" s="26"/>
    </row>
    <row r="139" spans="6:20">
      <c r="F139" s="29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6"/>
      <c r="T139" s="26"/>
    </row>
    <row r="140" spans="6:20">
      <c r="F140" s="29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6"/>
      <c r="T140" s="26"/>
    </row>
    <row r="141" spans="6:20">
      <c r="F141" s="29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6"/>
      <c r="T141" s="26"/>
    </row>
    <row r="142" spans="6:20">
      <c r="F142" s="29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6"/>
      <c r="T142" s="26"/>
    </row>
    <row r="143" spans="6:20">
      <c r="F143" s="29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6"/>
      <c r="T143" s="26"/>
    </row>
    <row r="144" spans="6:20">
      <c r="F144" s="29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6"/>
      <c r="T144" s="26"/>
    </row>
    <row r="145" spans="6:20">
      <c r="F145" s="29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6"/>
      <c r="T145" s="26"/>
    </row>
    <row r="146" spans="6:20">
      <c r="F146" s="29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6"/>
      <c r="T146" s="26"/>
    </row>
    <row r="147" spans="6:20">
      <c r="F147" s="29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6"/>
      <c r="T147" s="26"/>
    </row>
    <row r="148" spans="6:20">
      <c r="F148" s="29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6"/>
      <c r="T148" s="26"/>
    </row>
    <row r="149" spans="6:20">
      <c r="F149" s="29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6"/>
      <c r="T149" s="26"/>
    </row>
    <row r="150" spans="6:20">
      <c r="F150" s="29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6"/>
      <c r="T150" s="26"/>
    </row>
    <row r="151" spans="6:20">
      <c r="F151" s="29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6"/>
      <c r="T151" s="26"/>
    </row>
    <row r="152" spans="6:20">
      <c r="F152" s="29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6"/>
      <c r="T152" s="26"/>
    </row>
    <row r="153" spans="6:20">
      <c r="F153" s="29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6"/>
      <c r="T153" s="26"/>
    </row>
    <row r="154" spans="6:20">
      <c r="F154" s="29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6"/>
      <c r="T154" s="26"/>
    </row>
    <row r="155" spans="6:20">
      <c r="F155" s="29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6"/>
      <c r="T155" s="26"/>
    </row>
    <row r="156" spans="6:20">
      <c r="F156" s="29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6"/>
      <c r="T156" s="26"/>
    </row>
    <row r="157" spans="6:20">
      <c r="F157" s="29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6"/>
      <c r="T157" s="26"/>
    </row>
    <row r="158" spans="6:20">
      <c r="F158" s="29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6"/>
      <c r="T158" s="26"/>
    </row>
    <row r="159" spans="6:20">
      <c r="F159" s="29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6"/>
      <c r="T159" s="26"/>
    </row>
    <row r="160" spans="6:20">
      <c r="F160" s="29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6"/>
      <c r="T160" s="26"/>
    </row>
    <row r="161" spans="6:20">
      <c r="F161" s="29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6"/>
      <c r="T161" s="26"/>
    </row>
    <row r="162" spans="6:20">
      <c r="F162" s="29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6"/>
      <c r="T162" s="26"/>
    </row>
    <row r="163" spans="6:20">
      <c r="F163" s="29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6"/>
      <c r="T163" s="26"/>
    </row>
    <row r="164" spans="6:20">
      <c r="F164" s="29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6"/>
      <c r="T164" s="26"/>
    </row>
    <row r="165" spans="6:20">
      <c r="F165" s="29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6"/>
      <c r="T165" s="26"/>
    </row>
    <row r="166" spans="6:20">
      <c r="F166" s="29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6"/>
      <c r="T166" s="26"/>
    </row>
    <row r="167" spans="6:20">
      <c r="F167" s="29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6"/>
      <c r="T167" s="26"/>
    </row>
    <row r="168" spans="6:20">
      <c r="F168" s="29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6"/>
      <c r="T168" s="26"/>
    </row>
    <row r="169" spans="6:20">
      <c r="F169" s="29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6"/>
      <c r="T169" s="26"/>
    </row>
    <row r="170" spans="6:20">
      <c r="F170" s="29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6"/>
      <c r="T170" s="26"/>
    </row>
    <row r="171" spans="6:20">
      <c r="F171" s="29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6"/>
      <c r="T171" s="26"/>
    </row>
    <row r="172" spans="6:20">
      <c r="F172" s="29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6"/>
      <c r="T172" s="26"/>
    </row>
    <row r="173" spans="6:20">
      <c r="F173" s="29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6"/>
      <c r="T173" s="26"/>
    </row>
    <row r="174" spans="6:20">
      <c r="F174" s="29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6"/>
      <c r="T174" s="26"/>
    </row>
    <row r="175" spans="6:20">
      <c r="F175" s="29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6"/>
      <c r="T175" s="26"/>
    </row>
    <row r="176" spans="6:20">
      <c r="F176" s="29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6"/>
      <c r="T176" s="26"/>
    </row>
    <row r="177" spans="6:20">
      <c r="F177" s="29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6"/>
      <c r="T177" s="26"/>
    </row>
    <row r="178" spans="6:20">
      <c r="F178" s="29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6"/>
      <c r="T178" s="26"/>
    </row>
    <row r="179" spans="6:20">
      <c r="F179" s="29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6"/>
      <c r="T179" s="26"/>
    </row>
    <row r="180" spans="6:20">
      <c r="F180" s="29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6"/>
      <c r="T180" s="26"/>
    </row>
    <row r="181" spans="6:20">
      <c r="F181" s="29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6"/>
      <c r="T181" s="26"/>
    </row>
    <row r="182" spans="6:20">
      <c r="F182" s="29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6"/>
      <c r="T182" s="26"/>
    </row>
    <row r="183" spans="6:20">
      <c r="F183" s="29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6"/>
      <c r="T183" s="26"/>
    </row>
    <row r="184" spans="6:20">
      <c r="F184" s="29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6"/>
      <c r="T184" s="26"/>
    </row>
    <row r="185" spans="6:20">
      <c r="F185" s="29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6"/>
      <c r="T185" s="26"/>
    </row>
    <row r="186" spans="6:20">
      <c r="F186" s="29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6"/>
      <c r="T186" s="26"/>
    </row>
    <row r="187" spans="6:20">
      <c r="F187" s="29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6"/>
      <c r="T187" s="26"/>
    </row>
    <row r="188" spans="6:20">
      <c r="F188" s="29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6"/>
      <c r="T188" s="26"/>
    </row>
    <row r="189" spans="6:20">
      <c r="F189" s="29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6"/>
      <c r="T189" s="26"/>
    </row>
    <row r="190" spans="6:20">
      <c r="F190" s="29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6"/>
      <c r="T190" s="26"/>
    </row>
    <row r="191" spans="6:20">
      <c r="F191" s="29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6"/>
      <c r="T191" s="26"/>
    </row>
    <row r="192" spans="6:20">
      <c r="F192" s="29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6"/>
      <c r="T192" s="26"/>
    </row>
    <row r="193" spans="6:20">
      <c r="F193" s="29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6"/>
      <c r="T193" s="26"/>
    </row>
    <row r="194" spans="6:20">
      <c r="F194" s="29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6"/>
      <c r="T194" s="26"/>
    </row>
    <row r="195" spans="6:20">
      <c r="F195" s="29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6"/>
      <c r="T195" s="26"/>
    </row>
    <row r="196" spans="6:20">
      <c r="F196" s="29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6"/>
      <c r="T196" s="26"/>
    </row>
    <row r="197" spans="6:20">
      <c r="F197" s="29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6"/>
      <c r="T197" s="26"/>
    </row>
    <row r="198" spans="6:20">
      <c r="F198" s="29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6"/>
      <c r="T198" s="26"/>
    </row>
    <row r="199" spans="6:20">
      <c r="F199" s="29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6"/>
      <c r="T199" s="26"/>
    </row>
    <row r="200" spans="6:20">
      <c r="F200" s="29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6"/>
      <c r="T200" s="26"/>
    </row>
    <row r="201" spans="6:20">
      <c r="F201" s="29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6"/>
      <c r="T201" s="26"/>
    </row>
  </sheetData>
  <phoneticPr fontId="2" type="noConversion"/>
  <dataValidations disablePrompts="1" count="3">
    <dataValidation type="custom" allowBlank="1" showInputMessage="1" showErrorMessage="1" errorTitle="Error" error="Input out of range" sqref="C13">
      <formula1>IF(OR(C13&gt;MAX(G16:R16),C13&lt;MIN(G16:R16)),FALSE,TRUE)</formula1>
    </dataValidation>
    <dataValidation type="custom" allowBlank="1" showInputMessage="1" showErrorMessage="1" sqref="C14">
      <formula1>IF(OR(C14&gt;MAX(F17:F26),C14&lt;MIN(F17:F26)),FALSE,TRUE)</formula1>
    </dataValidation>
    <dataValidation type="list" allowBlank="1" showInputMessage="1" showErrorMessage="1" sqref="H3:H12 R3:R12 P3:P12 N3:N12 L3:L12 J3:J12">
      <formula1>"call, put"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calImpVol">
                <anchor moveWithCells="1" sizeWithCells="1">
                  <from>
                    <xdr:col>14</xdr:col>
                    <xdr:colOff>276225</xdr:colOff>
                    <xdr:row>13</xdr:row>
                    <xdr:rowOff>9525</xdr:rowOff>
                  </from>
                  <to>
                    <xdr:col>17</xdr:col>
                    <xdr:colOff>180975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nVolSkewContours">
                <anchor moveWithCells="1" sizeWithCells="1">
                  <from>
                    <xdr:col>14</xdr:col>
                    <xdr:colOff>19050</xdr:colOff>
                    <xdr:row>28</xdr:row>
                    <xdr:rowOff>104775</xdr:rowOff>
                  </from>
                  <to>
                    <xdr:col>16</xdr:col>
                    <xdr:colOff>457200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GetVolTerm">
                <anchor moveWithCells="1" sizeWithCells="1">
                  <from>
                    <xdr:col>3</xdr:col>
                    <xdr:colOff>28575</xdr:colOff>
                    <xdr:row>14</xdr:row>
                    <xdr:rowOff>66675</xdr:rowOff>
                  </from>
                  <to>
                    <xdr:col>4</xdr:col>
                    <xdr:colOff>914400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Implied Volatility</vt:lpstr>
      <vt:lpstr>assetPrice</vt:lpstr>
      <vt:lpstr>hsVol</vt:lpstr>
      <vt:lpstr>nMaturity</vt:lpstr>
      <vt:lpstr>npoint</vt:lpstr>
      <vt:lpstr>nStrike</vt:lpstr>
      <vt:lpstr>prec</vt:lpstr>
      <vt:lpstr>riskFree</vt:lpstr>
    </vt:vector>
  </TitlesOfParts>
  <Company>City University of Hong Kong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donnylai</dc:creator>
  <cp:lastModifiedBy>Maxwell</cp:lastModifiedBy>
  <dcterms:created xsi:type="dcterms:W3CDTF">2007-07-16T04:00:05Z</dcterms:created>
  <dcterms:modified xsi:type="dcterms:W3CDTF">2015-05-30T18:23:13Z</dcterms:modified>
</cp:coreProperties>
</file>